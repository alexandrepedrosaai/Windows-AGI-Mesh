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_Probabilistico" sheetId="1" state="visible" r:id="rId1"/>
    <sheet xmlns:r="http://schemas.openxmlformats.org/officeDocument/2006/relationships" name="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Premissa</t>
        </is>
      </c>
      <c r="B1" s="1" t="inlineStr">
        <is>
          <t>Valor</t>
        </is>
      </c>
    </row>
    <row r="2">
      <c r="A2" t="inlineStr">
        <is>
          <t>TPV Atual ($m)</t>
        </is>
      </c>
      <c r="B2" t="n">
        <v>41000</v>
      </c>
      <c r="F2" t="inlineStr">
        <is>
          <t>EV DCF</t>
        </is>
      </c>
    </row>
    <row r="3">
      <c r="A3" t="inlineStr">
        <is>
          <t>Crescimento TPV</t>
        </is>
      </c>
      <c r="B3" t="n">
        <v>0.25</v>
      </c>
      <c r="F3">
        <f>SUM(D13:D17)+((D17*(1+$B$6))/($B$5-$B$6))/(1+$B$5)^5</f>
        <v/>
      </c>
    </row>
    <row r="4">
      <c r="A4" t="inlineStr">
        <is>
          <t>Take Rate</t>
        </is>
      </c>
      <c r="B4" t="n">
        <v>0.025</v>
      </c>
      <c r="F4" t="inlineStr">
        <is>
          <t>Equity Value</t>
        </is>
      </c>
    </row>
    <row r="5">
      <c r="A5" t="inlineStr">
        <is>
          <t>Margem FCF</t>
        </is>
      </c>
      <c r="B5" t="n">
        <v>0.18</v>
      </c>
      <c r="F5">
        <f>F3+$B$7</f>
        <v/>
      </c>
    </row>
    <row r="6">
      <c r="A6" t="inlineStr">
        <is>
          <t>WACC</t>
        </is>
      </c>
      <c r="B6" t="n">
        <v>0.11</v>
      </c>
      <c r="F6" t="inlineStr">
        <is>
          <t>Preço Alvo</t>
        </is>
      </c>
    </row>
    <row r="7">
      <c r="A7" t="inlineStr">
        <is>
          <t>g Terminal</t>
        </is>
      </c>
      <c r="B7" t="n">
        <v>0.03</v>
      </c>
      <c r="F7">
        <f>F5/$B$8</f>
        <v/>
      </c>
    </row>
    <row r="8">
      <c r="A8" t="inlineStr">
        <is>
          <t>Caixa Líquido ($m)</t>
        </is>
      </c>
      <c r="B8" t="n">
        <v>500</v>
      </c>
    </row>
    <row r="9">
      <c r="A9" t="inlineStr">
        <is>
          <t>Ações Diluídas (m)</t>
        </is>
      </c>
      <c r="B9" t="n">
        <v>295</v>
      </c>
    </row>
    <row r="12">
      <c r="A12" t="inlineStr">
        <is>
          <t>Ano</t>
        </is>
      </c>
      <c r="B12" t="inlineStr">
        <is>
          <t>TPV</t>
        </is>
      </c>
      <c r="C12" t="inlineStr">
        <is>
          <t>Receita</t>
        </is>
      </c>
      <c r="D12" t="inlineStr">
        <is>
          <t>FCF</t>
        </is>
      </c>
    </row>
    <row r="13">
      <c r="A13" t="n">
        <v>2027</v>
      </c>
      <c r="B13">
        <f>B2*(1+B3)</f>
        <v/>
      </c>
      <c r="C13">
        <f>B13*$B$4</f>
        <v/>
      </c>
      <c r="D13">
        <f>C13*$B$5</f>
        <v/>
      </c>
    </row>
    <row r="14">
      <c r="A14" t="n">
        <v>2028</v>
      </c>
      <c r="B14">
        <f>B13*(1+$B$3)</f>
        <v/>
      </c>
      <c r="C14">
        <f>B14*$B$4</f>
        <v/>
      </c>
      <c r="D14">
        <f>C14*$B$5</f>
        <v/>
      </c>
    </row>
    <row r="15">
      <c r="A15" t="n">
        <v>2029</v>
      </c>
      <c r="B15">
        <f>B14*(1+$B$3)</f>
        <v/>
      </c>
      <c r="C15">
        <f>B15*$B$4</f>
        <v/>
      </c>
      <c r="D15">
        <f>C15*$B$5</f>
        <v/>
      </c>
    </row>
    <row r="16">
      <c r="A16" t="n">
        <v>2030</v>
      </c>
      <c r="B16">
        <f>B15*(1+$B$3)</f>
        <v/>
      </c>
      <c r="C16">
        <f>B16*$B$4</f>
        <v/>
      </c>
      <c r="D16">
        <f>C16*$B$5</f>
        <v/>
      </c>
    </row>
    <row r="17">
      <c r="A17" t="n">
        <v>2031</v>
      </c>
      <c r="B17">
        <f>B16*(1+$B$3)</f>
        <v/>
      </c>
      <c r="C17">
        <f>B17*$B$4</f>
        <v/>
      </c>
      <c r="D17">
        <f>C17*$B$5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Prob</t>
        </is>
      </c>
      <c r="C1" t="inlineStr">
        <is>
          <t>Preco Alvo</t>
        </is>
      </c>
    </row>
    <row r="2">
      <c r="A2" t="inlineStr">
        <is>
          <t>Base</t>
        </is>
      </c>
      <c r="B2" t="n">
        <v>0.6</v>
      </c>
      <c r="C2" t="n">
        <v>12</v>
      </c>
    </row>
    <row r="3">
      <c r="A3" t="inlineStr">
        <is>
          <t>Estrategico</t>
        </is>
      </c>
      <c r="B3" t="n">
        <v>0.3</v>
      </c>
      <c r="C3" t="n">
        <v>20</v>
      </c>
    </row>
    <row r="4">
      <c r="A4" t="inlineStr">
        <is>
          <t>Big Tech</t>
        </is>
      </c>
      <c r="B4" t="n">
        <v>0.1</v>
      </c>
      <c r="C4" t="n">
        <v>35</v>
      </c>
    </row>
    <row r="5">
      <c r="A5" t="inlineStr">
        <is>
          <t>Valor Esperado</t>
        </is>
      </c>
      <c r="B5" t="inlineStr"/>
      <c r="C5">
        <f>SUMPRODUCT(B2:B4,C2:C4)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2026-10-11T03:09:01.6994138Z</dcterms:created>
  <dcterms:modified xsi:type="dcterms:W3CDTF">2026-10-11T03:09:01.6994138Z</dcterms:modified>
  <lastModifiedBy>M365 Copilot</lastModifiedBy>
</coreProperties>
</file>