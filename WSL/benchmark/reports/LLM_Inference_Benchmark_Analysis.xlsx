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filterPrivacy="1"/>
  <xr:revisionPtr revIDLastSave="231" documentId="11_43D210A0F600EF7E224777807AC0D377713A0ACF" xr6:coauthVersionLast="47" xr6:coauthVersionMax="47" xr10:uidLastSave="{DEE1BAE3-A584-420E-97A7-8AF42835F720}"/>
  <bookViews>
    <workbookView xWindow="0" yWindow="0" windowWidth="0" windowHeight="0" xr2:uid="{00000000-000D-0000-FFFF-FFFF00000000}"/>
  </bookViews>
  <sheets>
    <sheet name="Overview" sheetId="1" r:id="rId1"/>
    <sheet name="Models &amp; Backends" sheetId="2" r:id="rId2"/>
    <sheet name="Hardware" sheetId="3" r:id="rId3"/>
    <sheet name="Context &amp; Workloa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F4" i="1"/>
  <c r="H6" i="1"/>
  <c r="F6" i="1"/>
  <c r="D6" i="1"/>
  <c r="B6" i="1"/>
  <c r="D5" i="1"/>
  <c r="D4" i="1"/>
  <c r="B5" i="1"/>
  <c r="B4" i="1"/>
</calcChain>
</file>

<file path=xl/sharedStrings.xml><?xml version="1.0" encoding="utf-8"?>
<sst xmlns="http://schemas.openxmlformats.org/spreadsheetml/2006/main" count="164" uniqueCount="101">
  <si>
    <t>LLM Inference Benchmark — Executive Overview</t>
  </si>
  <si>
    <t>Snapshot of 225,414 inference runs from the attached CSV • Aggregates use all rows; performance metrics use successful runs</t>
  </si>
  <si>
    <t>Total runs</t>
  </si>
  <si>
    <t>Success rate</t>
  </si>
  <si>
    <t>Avg throughput</t>
  </si>
  <si>
    <t>Median latency</t>
  </si>
  <si>
    <t>Successful</t>
  </si>
  <si>
    <t>Errors</t>
  </si>
  <si>
    <t>P95 throughput</t>
  </si>
  <si>
    <t>P95 latency</t>
  </si>
  <si>
    <t>Models</t>
  </si>
  <si>
    <t>Backends</t>
  </si>
  <si>
    <t>Compute targets</t>
  </si>
  <si>
    <t>Context lengths</t>
  </si>
  <si>
    <t>Key findings</t>
  </si>
  <si>
    <t>• vLLM leads backend throughput at 98.49 tokens/sec and the lowest average latency (4.24 s).
• H100 SXM leads hardware throughput at 259.04 tokens/sec; MI300X and A100 SXM are nearly tied at 175.54 and 172.68.
• Throughput declines from 103.09 tokens/sec at context 512 to 47.45 at 32,768 (−54.0%).
• phi3 is the fastest model average at 118.50 tokens/sec; large models trade speed for scale, with llama3:70b at 32.79.</t>
  </si>
  <si>
    <t>Dimension</t>
  </si>
  <si>
    <t>Leader</t>
  </si>
  <si>
    <t>Avg TPS</t>
  </si>
  <si>
    <t>Avg latency (ms)</t>
  </si>
  <si>
    <t>Avg TTFT (ms)</t>
  </si>
  <si>
    <t>Error rate</t>
  </si>
  <si>
    <t>Coverage</t>
  </si>
  <si>
    <t>Interpretation</t>
  </si>
  <si>
    <t>Model</t>
  </si>
  <si>
    <t>14,742 runs</t>
  </si>
  <si>
    <t>Fastest average model</t>
  </si>
  <si>
    <t>Backend</t>
  </si>
  <si>
    <t>39,942 runs</t>
  </si>
  <si>
    <t>Best speed/latency backend</t>
  </si>
  <si>
    <t>Hardware</t>
  </si>
  <si>
    <t>10,710 runs</t>
  </si>
  <si>
    <t>Highest throughput target</t>
  </si>
  <si>
    <t>Context</t>
  </si>
  <si>
    <t>32,202 runs</t>
  </si>
  <si>
    <t>Shortest context is fastest</t>
  </si>
  <si>
    <t>Quantization</t>
  </si>
  <si>
    <t>Fastest and lowest error rate</t>
  </si>
  <si>
    <t>Model and Backend Performance</t>
  </si>
  <si>
    <t>Runs</t>
  </si>
  <si>
    <t>Successes</t>
  </si>
  <si>
    <t>P95 TPS</t>
  </si>
  <si>
    <t>P95 latency (ms)</t>
  </si>
  <si>
    <t>Avg VRAM (GB)</t>
  </si>
  <si>
    <t>Avg power (W)</t>
  </si>
  <si>
    <t>Avg temp (°C)</t>
  </si>
  <si>
    <t>phi3</t>
  </si>
  <si>
    <t>codellama</t>
  </si>
  <si>
    <t>deepseek-r1</t>
  </si>
  <si>
    <t>qwen2</t>
  </si>
  <si>
    <t>mistral</t>
  </si>
  <si>
    <t>llama3</t>
  </si>
  <si>
    <t>llama3:8b</t>
  </si>
  <si>
    <t>gemma2</t>
  </si>
  <si>
    <t>phi4</t>
  </si>
  <si>
    <t>mixtral</t>
  </si>
  <si>
    <t>llama3:70b</t>
  </si>
  <si>
    <t>vLLM</t>
  </si>
  <si>
    <t>Ollama</t>
  </si>
  <si>
    <t>llama.cpp</t>
  </si>
  <si>
    <t>PyTorch</t>
  </si>
  <si>
    <t>ONNX</t>
  </si>
  <si>
    <t>Compute Target Performance — All 24 Targets</t>
  </si>
  <si>
    <t>Compute target</t>
  </si>
  <si>
    <t>H100 SXM</t>
  </si>
  <si>
    <t>MI300X</t>
  </si>
  <si>
    <t>A100 SXM</t>
  </si>
  <si>
    <t>MI250</t>
  </si>
  <si>
    <t>RTX 4090</t>
  </si>
  <si>
    <t>RTX 4080</t>
  </si>
  <si>
    <t>MI210</t>
  </si>
  <si>
    <t>RTX 4070 Ti</t>
  </si>
  <si>
    <t>RTX 3090</t>
  </si>
  <si>
    <t>RX 7900 XTX</t>
  </si>
  <si>
    <t>RTX 4070</t>
  </si>
  <si>
    <t>RX 7900 XT</t>
  </si>
  <si>
    <t>RTX 3080</t>
  </si>
  <si>
    <t>RTX 4060 Ti</t>
  </si>
  <si>
    <t>RX 7900 GRE</t>
  </si>
  <si>
    <t>RTX 3070</t>
  </si>
  <si>
    <t>RX 7800 XT</t>
  </si>
  <si>
    <t>RTX 4060</t>
  </si>
  <si>
    <t>RX 7700 XT</t>
  </si>
  <si>
    <t>RX 7600</t>
  </si>
  <si>
    <t>Arc A770</t>
  </si>
  <si>
    <t>CPU EPYC 9654</t>
  </si>
  <si>
    <t>CPU i9-14900K</t>
  </si>
  <si>
    <t>CPU Ryzen 9 7950X</t>
  </si>
  <si>
    <t>Context, Prompt, and Quantization Effects</t>
  </si>
  <si>
    <t>Context length</t>
  </si>
  <si>
    <t>Prompt type</t>
  </si>
  <si>
    <t>short</t>
  </si>
  <si>
    <t>medium</t>
  </si>
  <si>
    <t>code</t>
  </si>
  <si>
    <t>long</t>
  </si>
  <si>
    <t>math</t>
  </si>
  <si>
    <t>reasoning</t>
  </si>
  <si>
    <t>Q2_K</t>
  </si>
  <si>
    <t>Q4_K_M</t>
  </si>
  <si>
    <t>Q8_0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</si>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</sst>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ms&quot;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22"/>
      <color rgb="FFFFFFFF"/>
      <name val="Calibri"/>
      <family val="2"/>
      <scheme val="minor"/>
    </font>
    <font>
      <sz val="11"/>
      <color rgb="FF53657A"/>
      <name val="Calibri"/>
      <family val="2"/>
      <scheme val="minor"/>
    </font>
    <font>
      <b/>
      <sz val="11"/>
      <color rgb="FF53657A"/>
      <name val="Aptos"/>
    </font>
    <font>
      <b/>
      <sz val="14"/>
      <color theme="1"/>
      <name val="Aptos"/>
    </font>
    <font>
      <b/>
      <sz val="11"/>
      <color rgb="FFFFFFFF"/>
      <name val="Calibri"/>
      <family val="2"/>
      <scheme val="minor"/>
    </font>
    <font>
      <sz val="11"/>
      <color rgb="FF243447"/>
      <name val="Calibri"/>
      <family val="2"/>
      <scheme val="minor"/>
    </font>
    <font>
      <b/>
      <sz val="11"/>
      <color rgb="FFFFFFFF"/>
      <name val="Aptos"/>
    </font>
    <font>
      <b/>
      <sz val="20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9F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4" borderId="0" xfId="0" applyFont="1" applyFill="1"/>
    <xf numFmtId="10" fontId="5" fillId="4" borderId="0" xfId="0" applyNumberFormat="1" applyFont="1" applyFill="1"/>
    <xf numFmtId="2" fontId="5" fillId="4" borderId="0" xfId="0" applyNumberFormat="1" applyFont="1" applyFill="1"/>
    <xf numFmtId="164" fontId="5" fillId="4" borderId="0" xfId="0" applyNumberFormat="1" applyFont="1" applyFill="1"/>
    <xf numFmtId="3" fontId="5" fillId="4" borderId="0" xfId="0" applyNumberFormat="1" applyFont="1" applyFill="1"/>
    <xf numFmtId="0" fontId="8" fillId="3" borderId="0" xfId="0" applyFont="1" applyFill="1"/>
    <xf numFmtId="2" fontId="1" fillId="2" borderId="0" xfId="0" applyNumberFormat="1" applyFont="1" applyFill="1"/>
    <xf numFmtId="4" fontId="1" fillId="2" borderId="0" xfId="0" applyNumberFormat="1" applyFont="1" applyFill="1"/>
    <xf numFmtId="10" fontId="1" fillId="2" borderId="0" xfId="0" applyNumberFormat="1" applyFont="1" applyFill="1"/>
    <xf numFmtId="0" fontId="1" fillId="0" borderId="0" xfId="0" applyFont="1"/>
    <xf numFmtId="0" fontId="8" fillId="5" borderId="0" xfId="0" applyFont="1" applyFill="1"/>
    <xf numFmtId="3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2" fillId="3" borderId="0" xfId="0" applyFont="1" applyFill="1" applyAlignment="1"/>
    <xf numFmtId="0" fontId="0" fillId="3" borderId="0" xfId="0" applyFill="1" applyAlignment="1"/>
    <xf numFmtId="0" fontId="3" fillId="0" borderId="0" xfId="0" applyFont="1" applyAlignment="1"/>
    <xf numFmtId="0" fontId="0" fillId="0" borderId="0" xfId="0" applyAlignment="1"/>
    <xf numFmtId="0" fontId="6" fillId="5" borderId="0" xfId="0" applyFont="1" applyFill="1" applyAlignment="1"/>
    <xf numFmtId="0" fontId="0" fillId="5" borderId="0" xfId="0" applyFill="1" applyAlignment="1"/>
    <xf numFmtId="0" fontId="7" fillId="6" borderId="0" xfId="0" applyFont="1" applyFill="1" applyAlignment="1">
      <alignment wrapText="1"/>
    </xf>
    <xf numFmtId="0" fontId="9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Throughput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'Models &amp; Backends'!$E$3</c:f>
              <c:strCache>
                <c:ptCount val="1"/>
                <c:pt idx="0">
                  <c:v>Avg TPS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'Models &amp; Backends'!$A$4:$A$14</c:f>
              <c:strCache>
                <c:ptCount val="11"/>
                <c:pt idx="0">
                  <c:v>phi3</c:v>
                </c:pt>
                <c:pt idx="1">
                  <c:v>codellama</c:v>
                </c:pt>
                <c:pt idx="2">
                  <c:v>deepseek-r1</c:v>
                </c:pt>
                <c:pt idx="3">
                  <c:v>qwen2</c:v>
                </c:pt>
                <c:pt idx="4">
                  <c:v>mistral</c:v>
                </c:pt>
                <c:pt idx="5">
                  <c:v>llama3</c:v>
                </c:pt>
                <c:pt idx="6">
                  <c:v>llama3:8b</c:v>
                </c:pt>
                <c:pt idx="7">
                  <c:v>gemma2</c:v>
                </c:pt>
                <c:pt idx="8">
                  <c:v>phi4</c:v>
                </c:pt>
                <c:pt idx="9">
                  <c:v>mixtral</c:v>
                </c:pt>
                <c:pt idx="10">
                  <c:v>llama3:70b</c:v>
                </c:pt>
              </c:strCache>
            </c:strRef>
          </c:cat>
          <c:val>
            <c:numRef>
              <c:f>'Models &amp; Backends'!$E$4:$E$14</c:f>
              <c:numCache>
                <c:formatCode>0.00</c:formatCode>
                <c:ptCount val="11"/>
                <c:pt idx="0">
                  <c:v>118.5</c:v>
                </c:pt>
                <c:pt idx="1">
                  <c:v>82.13</c:v>
                </c:pt>
                <c:pt idx="2">
                  <c:v>82.09</c:v>
                </c:pt>
                <c:pt idx="3">
                  <c:v>81.98</c:v>
                </c:pt>
                <c:pt idx="4">
                  <c:v>78.400000000000006</c:v>
                </c:pt>
                <c:pt idx="5">
                  <c:v>75.75</c:v>
                </c:pt>
                <c:pt idx="6">
                  <c:v>75.22</c:v>
                </c:pt>
                <c:pt idx="7">
                  <c:v>67.400000000000006</c:v>
                </c:pt>
                <c:pt idx="8">
                  <c:v>56.86</c:v>
                </c:pt>
                <c:pt idx="9">
                  <c:v>41.53</c:v>
                </c:pt>
                <c:pt idx="10">
                  <c:v>32.79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BE-45F2-9769-956458D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249671"/>
        <c:axId val="2115251719"/>
      </c:barChart>
      <c:catAx>
        <c:axId val="211524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51719"/>
        <c:crosses val="autoZero"/>
        <c:auto val="1"/>
        <c:lblAlgn val="ctr"/>
        <c:lblOffset val="100"/>
        <c:noMultiLvlLbl val="0"/>
      </c:catAx>
      <c:valAx>
        <c:axId val="211525171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4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Throughput by Backend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'Models &amp; Backends'!$E$18</c:f>
              <c:strCache>
                <c:ptCount val="1"/>
                <c:pt idx="0">
                  <c:v>Avg TPS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'Models &amp; Backends'!$A$19:$A$23</c:f>
              <c:strCache>
                <c:ptCount val="5"/>
                <c:pt idx="0">
                  <c:v>vLLM</c:v>
                </c:pt>
                <c:pt idx="1">
                  <c:v>Ollama</c:v>
                </c:pt>
                <c:pt idx="2">
                  <c:v>llama.cpp</c:v>
                </c:pt>
                <c:pt idx="3">
                  <c:v>PyTorch</c:v>
                </c:pt>
                <c:pt idx="4">
                  <c:v>ONNX</c:v>
                </c:pt>
              </c:strCache>
            </c:strRef>
          </c:cat>
          <c:val>
            <c:numRef>
              <c:f>'Models &amp; Backends'!$E$19:$E$23</c:f>
              <c:numCache>
                <c:formatCode>0.00</c:formatCode>
                <c:ptCount val="5"/>
                <c:pt idx="0">
                  <c:v>98.49</c:v>
                </c:pt>
                <c:pt idx="1">
                  <c:v>76.569999999999993</c:v>
                </c:pt>
                <c:pt idx="2">
                  <c:v>72.67</c:v>
                </c:pt>
                <c:pt idx="3">
                  <c:v>69.010000000000005</c:v>
                </c:pt>
                <c:pt idx="4">
                  <c:v>62.79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57-43B5-A5CA-47673A741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394440"/>
        <c:axId val="447744008"/>
      </c:barChart>
      <c:catAx>
        <c:axId val="43739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44008"/>
        <c:crosses val="autoZero"/>
        <c:auto val="1"/>
        <c:lblAlgn val="ctr"/>
        <c:lblOffset val="100"/>
        <c:noMultiLvlLbl val="0"/>
      </c:catAx>
      <c:valAx>
        <c:axId val="447744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94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Compute Targets by Average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Hardware!$E$3</c:f>
              <c:strCache>
                <c:ptCount val="1"/>
                <c:pt idx="0">
                  <c:v>Avg TPS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Hardware!$A$4:$A$13</c:f>
              <c:strCache>
                <c:ptCount val="10"/>
                <c:pt idx="0">
                  <c:v>H100 SXM</c:v>
                </c:pt>
                <c:pt idx="1">
                  <c:v>MI300X</c:v>
                </c:pt>
                <c:pt idx="2">
                  <c:v>A100 SXM</c:v>
                </c:pt>
                <c:pt idx="3">
                  <c:v>MI250</c:v>
                </c:pt>
                <c:pt idx="4">
                  <c:v>RTX 4090</c:v>
                </c:pt>
                <c:pt idx="5">
                  <c:v>RTX 4080</c:v>
                </c:pt>
                <c:pt idx="6">
                  <c:v>MI210</c:v>
                </c:pt>
                <c:pt idx="7">
                  <c:v>RTX 4070 Ti</c:v>
                </c:pt>
                <c:pt idx="8">
                  <c:v>RTX 3090</c:v>
                </c:pt>
                <c:pt idx="9">
                  <c:v>RX 7900 XTX</c:v>
                </c:pt>
              </c:strCache>
            </c:strRef>
          </c:cat>
          <c:val>
            <c:numRef>
              <c:f>Hardware!$E$4:$E$13</c:f>
              <c:numCache>
                <c:formatCode>0.00</c:formatCode>
                <c:ptCount val="10"/>
                <c:pt idx="0">
                  <c:v>259.04000000000002</c:v>
                </c:pt>
                <c:pt idx="1">
                  <c:v>175.54</c:v>
                </c:pt>
                <c:pt idx="2">
                  <c:v>172.68</c:v>
                </c:pt>
                <c:pt idx="3">
                  <c:v>120.26</c:v>
                </c:pt>
                <c:pt idx="4">
                  <c:v>110.62</c:v>
                </c:pt>
                <c:pt idx="5">
                  <c:v>87.58</c:v>
                </c:pt>
                <c:pt idx="6">
                  <c:v>77.16</c:v>
                </c:pt>
                <c:pt idx="7">
                  <c:v>72.95</c:v>
                </c:pt>
                <c:pt idx="8">
                  <c:v>66.03</c:v>
                </c:pt>
                <c:pt idx="9">
                  <c:v>65.22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B3-4CE3-A6C1-C5B04652E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435912"/>
        <c:axId val="447788552"/>
      </c:barChart>
      <c:catAx>
        <c:axId val="43743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88552"/>
        <c:crosses val="autoZero"/>
        <c:auto val="1"/>
        <c:lblAlgn val="ctr"/>
        <c:lblOffset val="100"/>
        <c:noMultiLvlLbl val="0"/>
      </c:catAx>
      <c:valAx>
        <c:axId val="4477885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3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Declines as Context Expands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'Context &amp; Workload'!$E$3</c:f>
              <c:strCache>
                <c:ptCount val="1"/>
                <c:pt idx="0">
                  <c:v>Avg TPS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'Context &amp; Workload'!$E$4:$E$10</c:f>
              <c:numCache>
                <c:formatCode>0.00</c:formatCode>
                <c:ptCount val="7"/>
                <c:pt idx="0">
                  <c:v>103.09</c:v>
                </c:pt>
                <c:pt idx="1">
                  <c:v>93.72</c:v>
                </c:pt>
                <c:pt idx="2">
                  <c:v>84.58</c:v>
                </c:pt>
                <c:pt idx="3">
                  <c:v>75.260000000000005</c:v>
                </c:pt>
                <c:pt idx="4">
                  <c:v>66.040000000000006</c:v>
                </c:pt>
                <c:pt idx="5">
                  <c:v>56.65</c:v>
                </c:pt>
                <c:pt idx="6">
                  <c:v>47.45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42-4A6B-BDD8-16FB4BFF9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277768"/>
        <c:axId val="452322312"/>
      </c:lineChart>
      <c:catAx>
        <c:axId val="452277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Context length (tokens)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22312"/>
        <c:crosses val="autoZero"/>
        <c:auto val="1"/>
        <c:lblAlgn val="ctr"/>
        <c:lblOffset val="100"/>
        <c:noMultiLvlLbl val="0"/>
      </c:catAx>
      <c:valAx>
        <c:axId val="452322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77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2" name="ModelThroughput">
          <a:extLst>
            <a:ext uri="{FF2B5EF4-FFF2-40B4-BE49-F238E27FC236}">
              <a16:creationId xmlns:a16="http://schemas.microsoft.com/office/drawing/2014/main" id="{B87CB8B5-A4E5-6DBD-8C14-A03B88472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22</xdr:col>
      <xdr:colOff>0</xdr:colOff>
      <xdr:row>34</xdr:row>
      <xdr:rowOff>0</xdr:rowOff>
    </xdr:to>
    <xdr:graphicFrame macro="">
      <xdr:nvGraphicFramePr>
        <xdr:cNvPr id="3" name="BackendThroughput">
          <a:extLst>
            <a:ext uri="{FF2B5EF4-FFF2-40B4-BE49-F238E27FC236}">
              <a16:creationId xmlns:a16="http://schemas.microsoft.com/office/drawing/2014/main" id="{8A913BD1-DEDC-D07A-7A78-28FDBFEC9135}"/>
            </a:ext>
            <a:ext uri="{147F2762-F138-4A5C-976F-8EAC2B608ADB}">
              <a16:predDERef xmlns:a16="http://schemas.microsoft.com/office/drawing/2014/main" pred="{B87CB8B5-A4E5-6DBD-8C14-A03B88472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2" name="TopHardwareThroughput">
          <a:extLst>
            <a:ext uri="{FF2B5EF4-FFF2-40B4-BE49-F238E27FC236}">
              <a16:creationId xmlns:a16="http://schemas.microsoft.com/office/drawing/2014/main" id="{CBCB335F-B20E-2608-8957-21286C917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2" name="ContextThroughput">
          <a:extLst>
            <a:ext uri="{FF2B5EF4-FFF2-40B4-BE49-F238E27FC236}">
              <a16:creationId xmlns:a16="http://schemas.microsoft.com/office/drawing/2014/main" id="{F01C6E6B-87EB-C4EF-27DB-F8D9D2835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Normal="100" zoomScaleSheetLayoutView="100" workbookViewId="0"/>
  </sheetViews>
  <sheetFormatPr defaultRowHeight="15"/>
  <cols>
    <col min="1" max="1" width="13.140625" bestFit="1" customWidth="1"/>
    <col min="2" max="2" width="11.28515625" bestFit="1" customWidth="1"/>
    <col min="3" max="3" width="13.85546875" bestFit="1" customWidth="1"/>
    <col min="4" max="4" width="17.140625" bestFit="1" customWidth="1"/>
    <col min="5" max="5" width="17.7109375" bestFit="1" customWidth="1"/>
    <col min="6" max="6" width="10.28515625" bestFit="1" customWidth="1"/>
    <col min="7" max="7" width="16.7109375" bestFit="1" customWidth="1"/>
    <col min="8" max="8" width="28" bestFit="1" customWidth="1"/>
  </cols>
  <sheetData>
    <row r="1" spans="1:12" ht="28.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4" customHeight="1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75">
      <c r="A4" s="2" t="s">
        <v>2</v>
      </c>
      <c r="B4" s="7">
        <f>SUM('Models &amp; Backends'!B4:B14)</f>
        <v>225414</v>
      </c>
      <c r="C4" s="2" t="s">
        <v>3</v>
      </c>
      <c r="D4" s="4">
        <f>B5/B4</f>
        <v>0.98492107854880351</v>
      </c>
      <c r="E4" s="2" t="s">
        <v>4</v>
      </c>
      <c r="F4" s="5">
        <f>SUMPRODUCT('Models &amp; Backends'!E4:E14,'Models &amp; Backends'!C4:C14)/SUM('Models &amp; Backends'!C4:C14)</f>
        <v>75.256749093529706</v>
      </c>
      <c r="G4" s="2" t="s">
        <v>5</v>
      </c>
      <c r="H4" s="6">
        <v>4739.6400000000003</v>
      </c>
      <c r="I4" s="1"/>
      <c r="J4" s="1"/>
      <c r="K4" s="1"/>
      <c r="L4" s="1"/>
    </row>
    <row r="5" spans="1:12" ht="18.75">
      <c r="A5" s="2" t="s">
        <v>6</v>
      </c>
      <c r="B5" s="7">
        <f>SUM('Models &amp; Backends'!C4:C14)</f>
        <v>222015</v>
      </c>
      <c r="C5" s="2" t="s">
        <v>7</v>
      </c>
      <c r="D5" s="7">
        <f>B4-B5</f>
        <v>3399</v>
      </c>
      <c r="E5" s="2" t="s">
        <v>8</v>
      </c>
      <c r="F5" s="5">
        <v>230.52</v>
      </c>
      <c r="G5" s="2" t="s">
        <v>9</v>
      </c>
      <c r="H5" s="6">
        <v>53220.13</v>
      </c>
      <c r="I5" s="1"/>
      <c r="J5" s="1"/>
      <c r="K5" s="1"/>
      <c r="L5" s="1"/>
    </row>
    <row r="6" spans="1:12" ht="18.75">
      <c r="A6" s="2" t="s">
        <v>10</v>
      </c>
      <c r="B6" s="3">
        <f>COUNTA('Models &amp; Backends'!A4:A14)</f>
        <v>11</v>
      </c>
      <c r="C6" s="2" t="s">
        <v>11</v>
      </c>
      <c r="D6" s="3">
        <f>COUNTA('Models &amp; Backends'!A19:A23)</f>
        <v>5</v>
      </c>
      <c r="E6" s="2" t="s">
        <v>12</v>
      </c>
      <c r="F6" s="3">
        <f>COUNTA(Hardware!A4:A27)</f>
        <v>24</v>
      </c>
      <c r="G6" s="2" t="s">
        <v>13</v>
      </c>
      <c r="H6" s="3">
        <f>COUNTA('Context &amp; Workload'!A4:A10)</f>
        <v>7</v>
      </c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3" t="s">
        <v>14</v>
      </c>
      <c r="B9" s="24"/>
      <c r="C9" s="24"/>
      <c r="D9" s="24"/>
      <c r="E9" s="24"/>
      <c r="F9" s="24"/>
      <c r="G9" s="24"/>
      <c r="H9" s="24"/>
      <c r="I9" s="1"/>
      <c r="J9" s="1"/>
      <c r="K9" s="1"/>
      <c r="L9" s="1"/>
    </row>
    <row r="10" spans="1:12" ht="27.75" customHeight="1">
      <c r="A10" s="25" t="s">
        <v>15</v>
      </c>
      <c r="B10" s="25"/>
      <c r="C10" s="25"/>
      <c r="D10" s="25"/>
      <c r="E10" s="25"/>
      <c r="F10" s="25"/>
      <c r="G10" s="25"/>
      <c r="H10" s="25"/>
      <c r="I10" s="1"/>
      <c r="J10" s="1"/>
      <c r="K10" s="1"/>
      <c r="L10" s="1"/>
    </row>
    <row r="11" spans="1:12" ht="27.75" customHeight="1">
      <c r="A11" s="25"/>
      <c r="B11" s="25"/>
      <c r="C11" s="25"/>
      <c r="D11" s="25"/>
      <c r="E11" s="25"/>
      <c r="F11" s="25"/>
      <c r="G11" s="25"/>
      <c r="H11" s="25"/>
      <c r="I11" s="1"/>
      <c r="J11" s="1"/>
      <c r="K11" s="1"/>
      <c r="L11" s="1"/>
    </row>
    <row r="12" spans="1:12" ht="27.75" customHeight="1">
      <c r="A12" s="25"/>
      <c r="B12" s="25"/>
      <c r="C12" s="25"/>
      <c r="D12" s="25"/>
      <c r="E12" s="25"/>
      <c r="F12" s="25"/>
      <c r="G12" s="25"/>
      <c r="H12" s="25"/>
      <c r="I12" s="1"/>
      <c r="J12" s="1"/>
      <c r="K12" s="1"/>
      <c r="L12" s="1"/>
    </row>
    <row r="13" spans="1:12" ht="27.75" customHeight="1">
      <c r="A13" s="25"/>
      <c r="B13" s="25"/>
      <c r="C13" s="25"/>
      <c r="D13" s="25"/>
      <c r="E13" s="25"/>
      <c r="F13" s="25"/>
      <c r="G13" s="25"/>
      <c r="H13" s="25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  <c r="F16" s="8" t="s">
        <v>21</v>
      </c>
      <c r="G16" s="8" t="s">
        <v>22</v>
      </c>
      <c r="H16" s="8" t="s">
        <v>23</v>
      </c>
      <c r="I16" s="1"/>
      <c r="J16" s="1"/>
      <c r="K16" s="1"/>
      <c r="L16" s="1"/>
    </row>
    <row r="17" spans="1:12">
      <c r="A17" s="1" t="s">
        <v>24</v>
      </c>
      <c r="B17" s="1" t="str">
        <f>'Models &amp; Backends'!A4</f>
        <v>phi3</v>
      </c>
      <c r="C17" s="9">
        <f>'Models &amp; Backends'!E4</f>
        <v>118.5</v>
      </c>
      <c r="D17" s="10">
        <f>'Models &amp; Backends'!G4</f>
        <v>6003.11</v>
      </c>
      <c r="E17" s="9">
        <f>'Models &amp; Backends'!I4</f>
        <v>24.73</v>
      </c>
      <c r="F17" s="11">
        <f>'Models &amp; Backends'!D4</f>
        <v>1.6348000000000001E-2</v>
      </c>
      <c r="G17" s="1" t="s">
        <v>25</v>
      </c>
      <c r="H17" s="1" t="s">
        <v>26</v>
      </c>
      <c r="I17" s="1"/>
      <c r="J17" s="1"/>
      <c r="K17" s="1"/>
      <c r="L17" s="1"/>
    </row>
    <row r="18" spans="1:12">
      <c r="A18" s="1" t="s">
        <v>27</v>
      </c>
      <c r="B18" s="1" t="str">
        <f>'Models &amp; Backends'!A19</f>
        <v>vLLM</v>
      </c>
      <c r="C18" s="9">
        <f>'Models &amp; Backends'!E19</f>
        <v>98.49</v>
      </c>
      <c r="D18" s="10">
        <f>'Models &amp; Backends'!G19</f>
        <v>4240.1099999999997</v>
      </c>
      <c r="E18" s="9">
        <f>'Models &amp; Backends'!I19</f>
        <v>17.489999999999998</v>
      </c>
      <c r="F18" s="11">
        <f>'Models &amp; Backends'!D19</f>
        <v>1.5997999999999998E-2</v>
      </c>
      <c r="G18" s="1" t="s">
        <v>28</v>
      </c>
      <c r="H18" s="1" t="s">
        <v>29</v>
      </c>
      <c r="I18" s="1"/>
      <c r="J18" s="1"/>
      <c r="K18" s="1"/>
      <c r="L18" s="1"/>
    </row>
    <row r="19" spans="1:12">
      <c r="A19" s="1" t="s">
        <v>30</v>
      </c>
      <c r="B19" s="1" t="str">
        <f>Hardware!A4</f>
        <v>H100 SXM</v>
      </c>
      <c r="C19" s="9">
        <f>Hardware!E4</f>
        <v>259.04000000000002</v>
      </c>
      <c r="D19" s="10">
        <f>Hardware!G4</f>
        <v>1297.55</v>
      </c>
      <c r="E19" s="9">
        <f>Hardware!I4</f>
        <v>6.38</v>
      </c>
      <c r="F19" s="11">
        <f>Hardware!D4</f>
        <v>1.5685999999999999E-2</v>
      </c>
      <c r="G19" s="1" t="s">
        <v>31</v>
      </c>
      <c r="H19" s="1" t="s">
        <v>32</v>
      </c>
      <c r="I19" s="1"/>
      <c r="J19" s="1"/>
      <c r="K19" s="1"/>
      <c r="L19" s="1"/>
    </row>
    <row r="20" spans="1:12">
      <c r="A20" s="1" t="s">
        <v>33</v>
      </c>
      <c r="B20" s="1" t="str">
        <f>'Context &amp; Workload'!A4&amp;" tokens"</f>
        <v>512 tokens</v>
      </c>
      <c r="C20" s="9">
        <f>'Context &amp; Workload'!E4</f>
        <v>103.09</v>
      </c>
      <c r="D20" s="10">
        <f>'Context &amp; Workload'!G4</f>
        <v>7916.17</v>
      </c>
      <c r="E20" s="9">
        <f>'Context &amp; Workload'!I4</f>
        <v>32.64</v>
      </c>
      <c r="F20" s="11">
        <f>'Context &amp; Workload'!D4</f>
        <v>1.4626E-2</v>
      </c>
      <c r="G20" s="1" t="s">
        <v>34</v>
      </c>
      <c r="H20" s="1" t="s">
        <v>35</v>
      </c>
      <c r="I20" s="1"/>
      <c r="J20" s="1"/>
      <c r="K20" s="1"/>
      <c r="L20" s="1"/>
    </row>
    <row r="21" spans="1:12">
      <c r="A21" s="1" t="s">
        <v>36</v>
      </c>
      <c r="B21" s="1" t="str">
        <f>'Context &amp; Workload'!A25</f>
        <v>Q2_K</v>
      </c>
      <c r="C21" s="9">
        <f>'Context &amp; Workload'!E25</f>
        <v>93.04</v>
      </c>
      <c r="D21" s="10">
        <f>'Context &amp; Workload'!G25</f>
        <v>7630.96</v>
      </c>
      <c r="E21" s="9">
        <f>'Context &amp; Workload'!I25</f>
        <v>31.34</v>
      </c>
      <c r="F21" s="11">
        <f>'Context &amp; Workload'!D25</f>
        <v>1.3228E-2</v>
      </c>
      <c r="G21" s="1" t="s">
        <v>25</v>
      </c>
      <c r="H21" s="1" t="s">
        <v>37</v>
      </c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4">
    <mergeCell ref="A1:L1"/>
    <mergeCell ref="A2:L2"/>
    <mergeCell ref="A9:H9"/>
    <mergeCell ref="A10:H1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5A14-DBE0-4D13-B692-E9035BC29AB5}">
  <dimension ref="A1:L35"/>
  <sheetViews>
    <sheetView workbookViewId="0"/>
  </sheetViews>
  <sheetFormatPr defaultRowHeight="15"/>
  <cols>
    <col min="1" max="1" width="12.7109375" bestFit="1" customWidth="1"/>
    <col min="2" max="2" width="7.42578125" bestFit="1" customWidth="1"/>
    <col min="3" max="3" width="11.7109375" bestFit="1" customWidth="1"/>
    <col min="4" max="4" width="10.28515625" bestFit="1" customWidth="1"/>
    <col min="5" max="5" width="8.7109375" bestFit="1" customWidth="1"/>
    <col min="6" max="6" width="8.85546875" bestFit="1" customWidth="1"/>
    <col min="7" max="7" width="17.140625" bestFit="1" customWidth="1"/>
    <col min="8" max="8" width="17.28515625" bestFit="1" customWidth="1"/>
    <col min="9" max="9" width="14.140625" bestFit="1" customWidth="1"/>
    <col min="10" max="10" width="15.5703125" bestFit="1" customWidth="1"/>
    <col min="11" max="11" width="15" bestFit="1" customWidth="1"/>
    <col min="12" max="12" width="14.140625" bestFit="1" customWidth="1"/>
  </cols>
  <sheetData>
    <row r="1" spans="1:12" ht="26.25">
      <c r="A1" s="26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13" t="s">
        <v>24</v>
      </c>
      <c r="B3" s="13" t="s">
        <v>39</v>
      </c>
      <c r="C3" s="13" t="s">
        <v>40</v>
      </c>
      <c r="D3" s="13" t="s">
        <v>21</v>
      </c>
      <c r="E3" s="13" t="s">
        <v>18</v>
      </c>
      <c r="F3" s="13" t="s">
        <v>41</v>
      </c>
      <c r="G3" s="13" t="s">
        <v>19</v>
      </c>
      <c r="H3" s="13" t="s">
        <v>42</v>
      </c>
      <c r="I3" s="13" t="s">
        <v>20</v>
      </c>
      <c r="J3" s="13" t="s">
        <v>43</v>
      </c>
      <c r="K3" s="13" t="s">
        <v>44</v>
      </c>
      <c r="L3" s="13" t="s">
        <v>45</v>
      </c>
    </row>
    <row r="4" spans="1:12">
      <c r="A4" s="12" t="s">
        <v>46</v>
      </c>
      <c r="B4" s="14">
        <v>14742</v>
      </c>
      <c r="C4" s="14">
        <v>14501</v>
      </c>
      <c r="D4" s="15">
        <v>1.6348000000000001E-2</v>
      </c>
      <c r="E4" s="16">
        <v>118.5</v>
      </c>
      <c r="F4" s="16">
        <v>360.84</v>
      </c>
      <c r="G4" s="17">
        <v>6003.11</v>
      </c>
      <c r="H4" s="17">
        <v>28869.31</v>
      </c>
      <c r="I4" s="16">
        <v>24.73</v>
      </c>
      <c r="J4" s="16">
        <v>2.0499999999999998</v>
      </c>
      <c r="K4" s="18">
        <v>219.4</v>
      </c>
      <c r="L4" s="18">
        <v>76.7</v>
      </c>
    </row>
    <row r="5" spans="1:12">
      <c r="A5" s="12" t="s">
        <v>47</v>
      </c>
      <c r="B5" s="14">
        <v>14742</v>
      </c>
      <c r="C5" s="14">
        <v>14512</v>
      </c>
      <c r="D5" s="15">
        <v>1.5602E-2</v>
      </c>
      <c r="E5" s="16">
        <v>82.13</v>
      </c>
      <c r="F5" s="16">
        <v>249.63</v>
      </c>
      <c r="G5" s="17">
        <v>8582.4699999999993</v>
      </c>
      <c r="H5" s="17">
        <v>40953.440000000002</v>
      </c>
      <c r="I5" s="16">
        <v>35.4</v>
      </c>
      <c r="J5" s="16">
        <v>3.77</v>
      </c>
      <c r="K5" s="18">
        <v>219.8</v>
      </c>
      <c r="L5" s="18">
        <v>76.599999999999994</v>
      </c>
    </row>
    <row r="6" spans="1:12">
      <c r="A6" s="12" t="s">
        <v>48</v>
      </c>
      <c r="B6" s="14">
        <v>14742</v>
      </c>
      <c r="C6" s="14">
        <v>14518</v>
      </c>
      <c r="D6" s="15">
        <v>1.5195E-2</v>
      </c>
      <c r="E6" s="16">
        <v>82.09</v>
      </c>
      <c r="F6" s="16">
        <v>249.41</v>
      </c>
      <c r="G6" s="17">
        <v>8636.34</v>
      </c>
      <c r="H6" s="17">
        <v>41128.660000000003</v>
      </c>
      <c r="I6" s="16">
        <v>35.51</v>
      </c>
      <c r="J6" s="16">
        <v>3.77</v>
      </c>
      <c r="K6" s="18">
        <v>221.1</v>
      </c>
      <c r="L6" s="18">
        <v>76.5</v>
      </c>
    </row>
    <row r="7" spans="1:12">
      <c r="A7" s="12" t="s">
        <v>49</v>
      </c>
      <c r="B7" s="14">
        <v>14742</v>
      </c>
      <c r="C7" s="14">
        <v>14530</v>
      </c>
      <c r="D7" s="15">
        <v>1.4381E-2</v>
      </c>
      <c r="E7" s="16">
        <v>81.98</v>
      </c>
      <c r="F7" s="16">
        <v>248.29</v>
      </c>
      <c r="G7" s="17">
        <v>8627.73</v>
      </c>
      <c r="H7" s="17">
        <v>41281.129999999997</v>
      </c>
      <c r="I7" s="16">
        <v>35.49</v>
      </c>
      <c r="J7" s="16">
        <v>3.77</v>
      </c>
      <c r="K7" s="18">
        <v>219.8</v>
      </c>
      <c r="L7" s="18">
        <v>76.8</v>
      </c>
    </row>
    <row r="8" spans="1:12">
      <c r="A8" s="12" t="s">
        <v>50</v>
      </c>
      <c r="B8" s="14">
        <v>29484</v>
      </c>
      <c r="C8" s="14">
        <v>29051</v>
      </c>
      <c r="D8" s="15">
        <v>1.4685999999999999E-2</v>
      </c>
      <c r="E8" s="16">
        <v>78.400000000000006</v>
      </c>
      <c r="F8" s="16">
        <v>239.22</v>
      </c>
      <c r="G8" s="17">
        <v>9051.92</v>
      </c>
      <c r="H8" s="17">
        <v>43416</v>
      </c>
      <c r="I8" s="16">
        <v>37.22</v>
      </c>
      <c r="J8" s="16">
        <v>3.77</v>
      </c>
      <c r="K8" s="18">
        <v>220.1</v>
      </c>
      <c r="L8" s="18">
        <v>76.8</v>
      </c>
    </row>
    <row r="9" spans="1:12">
      <c r="A9" s="12" t="s">
        <v>51</v>
      </c>
      <c r="B9" s="14">
        <v>14742</v>
      </c>
      <c r="C9" s="14">
        <v>14541</v>
      </c>
      <c r="D9" s="15">
        <v>1.3635E-2</v>
      </c>
      <c r="E9" s="16">
        <v>75.75</v>
      </c>
      <c r="F9" s="16">
        <v>231.14</v>
      </c>
      <c r="G9" s="17">
        <v>9323.3700000000008</v>
      </c>
      <c r="H9" s="17">
        <v>44627.94</v>
      </c>
      <c r="I9" s="16">
        <v>38.35</v>
      </c>
      <c r="J9" s="16">
        <v>4.3099999999999996</v>
      </c>
      <c r="K9" s="18">
        <v>220.6</v>
      </c>
      <c r="L9" s="18">
        <v>76.8</v>
      </c>
    </row>
    <row r="10" spans="1:12">
      <c r="A10" s="12" t="s">
        <v>52</v>
      </c>
      <c r="B10" s="14">
        <v>58968</v>
      </c>
      <c r="C10" s="14">
        <v>58110</v>
      </c>
      <c r="D10" s="15">
        <v>1.455E-2</v>
      </c>
      <c r="E10" s="16">
        <v>75.22</v>
      </c>
      <c r="F10" s="16">
        <v>229.41</v>
      </c>
      <c r="G10" s="17">
        <v>9619.2900000000009</v>
      </c>
      <c r="H10" s="17">
        <v>46313.36</v>
      </c>
      <c r="I10" s="16">
        <v>39.44</v>
      </c>
      <c r="J10" s="16">
        <v>4.3099999999999996</v>
      </c>
      <c r="K10" s="18">
        <v>219.9</v>
      </c>
      <c r="L10" s="18">
        <v>76.8</v>
      </c>
    </row>
    <row r="11" spans="1:12">
      <c r="A11" s="12" t="s">
        <v>53</v>
      </c>
      <c r="B11" s="14">
        <v>29484</v>
      </c>
      <c r="C11" s="14">
        <v>29003</v>
      </c>
      <c r="D11" s="15">
        <v>1.6313999999999999E-2</v>
      </c>
      <c r="E11" s="16">
        <v>67.400000000000006</v>
      </c>
      <c r="F11" s="16">
        <v>204.64</v>
      </c>
      <c r="G11" s="17">
        <v>10524.05</v>
      </c>
      <c r="H11" s="17">
        <v>50963.76</v>
      </c>
      <c r="I11" s="16">
        <v>43.14</v>
      </c>
      <c r="J11" s="16">
        <v>4.8499999999999996</v>
      </c>
      <c r="K11" s="18">
        <v>220.4</v>
      </c>
      <c r="L11" s="18">
        <v>76.8</v>
      </c>
    </row>
    <row r="12" spans="1:12">
      <c r="A12" s="12" t="s">
        <v>54</v>
      </c>
      <c r="B12" s="14">
        <v>24444</v>
      </c>
      <c r="C12" s="14">
        <v>24087</v>
      </c>
      <c r="D12" s="15">
        <v>1.4605E-2</v>
      </c>
      <c r="E12" s="16">
        <v>56.86</v>
      </c>
      <c r="F12" s="16">
        <v>167.33</v>
      </c>
      <c r="G12" s="17">
        <v>14287.98</v>
      </c>
      <c r="H12" s="17">
        <v>72386.31</v>
      </c>
      <c r="I12" s="16">
        <v>58.59</v>
      </c>
      <c r="J12" s="16">
        <v>7.36</v>
      </c>
      <c r="K12" s="18">
        <v>239.7</v>
      </c>
      <c r="L12" s="18">
        <v>78.5</v>
      </c>
    </row>
    <row r="13" spans="1:12">
      <c r="A13" s="12" t="s">
        <v>55</v>
      </c>
      <c r="B13" s="14">
        <v>4662</v>
      </c>
      <c r="C13" s="14">
        <v>4578</v>
      </c>
      <c r="D13" s="15">
        <v>1.8017999999999999E-2</v>
      </c>
      <c r="E13" s="16">
        <v>41.53</v>
      </c>
      <c r="F13" s="16">
        <v>108.58</v>
      </c>
      <c r="G13" s="17">
        <v>49152.91</v>
      </c>
      <c r="H13" s="17">
        <v>194770.7</v>
      </c>
      <c r="I13" s="16">
        <v>200.12</v>
      </c>
      <c r="J13" s="16">
        <v>19.010000000000002</v>
      </c>
      <c r="K13" s="18">
        <v>274</v>
      </c>
      <c r="L13" s="18">
        <v>75.400000000000006</v>
      </c>
    </row>
    <row r="14" spans="1:12">
      <c r="A14" s="12" t="s">
        <v>56</v>
      </c>
      <c r="B14" s="14">
        <v>4662</v>
      </c>
      <c r="C14" s="14">
        <v>4584</v>
      </c>
      <c r="D14" s="15">
        <v>1.6730999999999999E-2</v>
      </c>
      <c r="E14" s="16">
        <v>32.79</v>
      </c>
      <c r="F14" s="16">
        <v>86.84</v>
      </c>
      <c r="G14" s="17">
        <v>61532.7</v>
      </c>
      <c r="H14" s="17">
        <v>242845.88</v>
      </c>
      <c r="I14" s="16">
        <v>254.55</v>
      </c>
      <c r="J14" s="16">
        <v>28.37</v>
      </c>
      <c r="K14" s="18">
        <v>273.7</v>
      </c>
      <c r="L14" s="18">
        <v>75.5</v>
      </c>
    </row>
    <row r="15" spans="1:1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3" t="s">
        <v>27</v>
      </c>
      <c r="B18" s="13" t="s">
        <v>39</v>
      </c>
      <c r="C18" s="13" t="s">
        <v>40</v>
      </c>
      <c r="D18" s="13" t="s">
        <v>21</v>
      </c>
      <c r="E18" s="13" t="s">
        <v>18</v>
      </c>
      <c r="F18" s="13" t="s">
        <v>41</v>
      </c>
      <c r="G18" s="13" t="s">
        <v>19</v>
      </c>
      <c r="H18" s="13" t="s">
        <v>42</v>
      </c>
      <c r="I18" s="13" t="s">
        <v>20</v>
      </c>
      <c r="J18" s="13" t="s">
        <v>43</v>
      </c>
      <c r="K18" s="13" t="s">
        <v>44</v>
      </c>
      <c r="L18" s="13" t="s">
        <v>45</v>
      </c>
    </row>
    <row r="19" spans="1:12">
      <c r="A19" s="12" t="s">
        <v>57</v>
      </c>
      <c r="B19" s="14">
        <v>39942</v>
      </c>
      <c r="C19" s="14">
        <v>39303</v>
      </c>
      <c r="D19" s="15">
        <v>1.5997999999999998E-2</v>
      </c>
      <c r="E19" s="16">
        <v>98.49</v>
      </c>
      <c r="F19" s="16">
        <v>281.43</v>
      </c>
      <c r="G19" s="17">
        <v>4240.1099999999997</v>
      </c>
      <c r="H19" s="17">
        <v>9845.58</v>
      </c>
      <c r="I19" s="16">
        <v>17.489999999999998</v>
      </c>
      <c r="J19" s="16">
        <v>5.84</v>
      </c>
      <c r="K19" s="18">
        <v>253.4</v>
      </c>
      <c r="L19" s="18">
        <v>86.8</v>
      </c>
    </row>
    <row r="20" spans="1:12">
      <c r="A20" s="12" t="s">
        <v>58</v>
      </c>
      <c r="B20" s="14">
        <v>46368</v>
      </c>
      <c r="C20" s="14">
        <v>45665</v>
      </c>
      <c r="D20" s="15">
        <v>1.5161000000000001E-2</v>
      </c>
      <c r="E20" s="16">
        <v>76.569999999999993</v>
      </c>
      <c r="F20" s="16">
        <v>237.81</v>
      </c>
      <c r="G20" s="17">
        <v>12066.87</v>
      </c>
      <c r="H20" s="17">
        <v>54491.44</v>
      </c>
      <c r="I20" s="16">
        <v>49.54</v>
      </c>
      <c r="J20" s="16">
        <v>5.05</v>
      </c>
      <c r="K20" s="18">
        <v>218.2</v>
      </c>
      <c r="L20" s="18">
        <v>74.7</v>
      </c>
    </row>
    <row r="21" spans="1:12">
      <c r="A21" s="12" t="s">
        <v>59</v>
      </c>
      <c r="B21" s="14">
        <v>46368</v>
      </c>
      <c r="C21" s="14">
        <v>45691</v>
      </c>
      <c r="D21" s="15">
        <v>1.4600999999999999E-2</v>
      </c>
      <c r="E21" s="16">
        <v>72.67</v>
      </c>
      <c r="F21" s="16">
        <v>225.54</v>
      </c>
      <c r="G21" s="17">
        <v>12687.1</v>
      </c>
      <c r="H21" s="17">
        <v>57289.82</v>
      </c>
      <c r="I21" s="16">
        <v>52.02</v>
      </c>
      <c r="J21" s="16">
        <v>5.04</v>
      </c>
      <c r="K21" s="18">
        <v>218.3</v>
      </c>
      <c r="L21" s="18">
        <v>75</v>
      </c>
    </row>
    <row r="22" spans="1:12">
      <c r="A22" s="12" t="s">
        <v>60</v>
      </c>
      <c r="B22" s="14">
        <v>46368</v>
      </c>
      <c r="C22" s="14">
        <v>45672</v>
      </c>
      <c r="D22" s="15">
        <v>1.5010000000000001E-2</v>
      </c>
      <c r="E22" s="16">
        <v>69.010000000000005</v>
      </c>
      <c r="F22" s="16">
        <v>214.62</v>
      </c>
      <c r="G22" s="17">
        <v>13335.62</v>
      </c>
      <c r="H22" s="17">
        <v>61000.36</v>
      </c>
      <c r="I22" s="16">
        <v>54.84</v>
      </c>
      <c r="J22" s="16">
        <v>5.05</v>
      </c>
      <c r="K22" s="18">
        <v>218.1</v>
      </c>
      <c r="L22" s="18">
        <v>74.7</v>
      </c>
    </row>
    <row r="23" spans="1:12">
      <c r="A23" s="12" t="s">
        <v>61</v>
      </c>
      <c r="B23" s="14">
        <v>46368</v>
      </c>
      <c r="C23" s="14">
        <v>45684</v>
      </c>
      <c r="D23" s="15">
        <v>1.4751999999999999E-2</v>
      </c>
      <c r="E23" s="16">
        <v>62.79</v>
      </c>
      <c r="F23" s="16">
        <v>194.88</v>
      </c>
      <c r="G23" s="17">
        <v>14663.7</v>
      </c>
      <c r="H23" s="17">
        <v>66449.600000000006</v>
      </c>
      <c r="I23" s="16">
        <v>60.17</v>
      </c>
      <c r="J23" s="16">
        <v>5.04</v>
      </c>
      <c r="K23" s="18">
        <v>218.2</v>
      </c>
      <c r="L23" s="18">
        <v>74.7</v>
      </c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</sheetData>
  <mergeCells count="1">
    <mergeCell ref="A1:L1"/>
  </mergeCells>
  <conditionalFormatting sqref="E4:E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{748E4EF1-2997-466D-ADDC-319C894D40BF}</x14:id>
        </ext>
      </extLst>
    </cfRule>
  </conditionalFormatting>
  <conditionalFormatting sqref="E19:E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{64E0F9E4-8D22-4BA2-B276-ED6C39288F6F}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8E4EF1-2997-466D-ADDC-319C894D40BF}">
            <x14:dataBar minLength="0" maxLength="100" negativeBarColorSameAsPositive="1" axisPosition="none">
              <x14:cfvo type="min"/>
              <x14:cfvo type="max"/>
            </x14:dataBar>
          </x14:cfRule>
          <xm:sqref>E4:E14</xm:sqref>
        </x14:conditionalFormatting>
        <x14:conditionalFormatting xmlns:xm="http://schemas.microsoft.com/office/excel/2006/main">
          <x14:cfRule type="dataBar" id="{64E0F9E4-8D22-4BA2-B276-ED6C39288F6F}">
            <x14:dataBar minLength="0" maxLength="100" negativeBarColorSameAsPositive="1" axisPosition="none">
              <x14:cfvo type="min"/>
              <x14:cfvo type="max"/>
            </x14:dataBar>
          </x14:cfRule>
          <xm:sqref>E19:E23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A9D7-7559-4A08-B254-4322791BE300}">
  <dimension ref="A1:L35"/>
  <sheetViews>
    <sheetView workbookViewId="0"/>
  </sheetViews>
  <sheetFormatPr defaultRowHeight="15"/>
  <cols>
    <col min="1" max="1" width="19.140625" bestFit="1" customWidth="1"/>
    <col min="2" max="2" width="7.42578125" bestFit="1" customWidth="1"/>
    <col min="3" max="3" width="11.7109375" bestFit="1" customWidth="1"/>
    <col min="4" max="4" width="10.28515625" bestFit="1" customWidth="1"/>
    <col min="5" max="5" width="8.7109375" bestFit="1" customWidth="1"/>
    <col min="6" max="6" width="8.85546875" bestFit="1" customWidth="1"/>
    <col min="7" max="7" width="17.140625" bestFit="1" customWidth="1"/>
    <col min="8" max="8" width="17.28515625" bestFit="1" customWidth="1"/>
    <col min="9" max="9" width="14.140625" bestFit="1" customWidth="1"/>
    <col min="10" max="10" width="15.5703125" bestFit="1" customWidth="1"/>
    <col min="11" max="11" width="15" bestFit="1" customWidth="1"/>
    <col min="12" max="12" width="14.140625" bestFit="1" customWidth="1"/>
  </cols>
  <sheetData>
    <row r="1" spans="1:12" ht="26.25">
      <c r="A1" s="26" t="s">
        <v>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13" t="s">
        <v>63</v>
      </c>
      <c r="B3" s="13" t="s">
        <v>39</v>
      </c>
      <c r="C3" s="13" t="s">
        <v>40</v>
      </c>
      <c r="D3" s="13" t="s">
        <v>21</v>
      </c>
      <c r="E3" s="13" t="s">
        <v>18</v>
      </c>
      <c r="F3" s="13" t="s">
        <v>41</v>
      </c>
      <c r="G3" s="13" t="s">
        <v>19</v>
      </c>
      <c r="H3" s="13" t="s">
        <v>42</v>
      </c>
      <c r="I3" s="13" t="s">
        <v>20</v>
      </c>
      <c r="J3" s="13" t="s">
        <v>43</v>
      </c>
      <c r="K3" s="13" t="s">
        <v>44</v>
      </c>
      <c r="L3" s="13" t="s">
        <v>45</v>
      </c>
    </row>
    <row r="4" spans="1:12">
      <c r="A4" s="12" t="s">
        <v>64</v>
      </c>
      <c r="B4" s="14">
        <v>10710</v>
      </c>
      <c r="C4" s="14">
        <v>10542</v>
      </c>
      <c r="D4" s="15">
        <v>1.5685999999999999E-2</v>
      </c>
      <c r="E4" s="16">
        <v>259.04000000000002</v>
      </c>
      <c r="F4" s="16">
        <v>463.21</v>
      </c>
      <c r="G4" s="17">
        <v>1297.55</v>
      </c>
      <c r="H4" s="17">
        <v>3301.2</v>
      </c>
      <c r="I4" s="16">
        <v>6.38</v>
      </c>
      <c r="J4" s="16">
        <v>8.5299999999999994</v>
      </c>
      <c r="K4" s="18">
        <v>525.1</v>
      </c>
      <c r="L4" s="18">
        <v>124.1</v>
      </c>
    </row>
    <row r="5" spans="1:12">
      <c r="A5" s="12" t="s">
        <v>65</v>
      </c>
      <c r="B5" s="14">
        <v>10710</v>
      </c>
      <c r="C5" s="14">
        <v>10551</v>
      </c>
      <c r="D5" s="15">
        <v>1.4846E-2</v>
      </c>
      <c r="E5" s="16">
        <v>175.54</v>
      </c>
      <c r="F5" s="16">
        <v>314.48</v>
      </c>
      <c r="G5" s="17">
        <v>1922.73</v>
      </c>
      <c r="H5" s="17">
        <v>4879.7700000000004</v>
      </c>
      <c r="I5" s="16">
        <v>8.24</v>
      </c>
      <c r="J5" s="16">
        <v>8.5299999999999994</v>
      </c>
      <c r="K5" s="18">
        <v>563.29999999999995</v>
      </c>
      <c r="L5" s="18">
        <v>117.6</v>
      </c>
    </row>
    <row r="6" spans="1:12">
      <c r="A6" s="12" t="s">
        <v>66</v>
      </c>
      <c r="B6" s="14">
        <v>10710</v>
      </c>
      <c r="C6" s="14">
        <v>10543</v>
      </c>
      <c r="D6" s="15">
        <v>1.5592999999999999E-2</v>
      </c>
      <c r="E6" s="16">
        <v>172.68</v>
      </c>
      <c r="F6" s="16">
        <v>307.5</v>
      </c>
      <c r="G6" s="17">
        <v>1949.62</v>
      </c>
      <c r="H6" s="17">
        <v>4927.58</v>
      </c>
      <c r="I6" s="16">
        <v>8.2899999999999991</v>
      </c>
      <c r="J6" s="16">
        <v>8.52</v>
      </c>
      <c r="K6" s="18">
        <v>300</v>
      </c>
      <c r="L6" s="18">
        <v>117.1</v>
      </c>
    </row>
    <row r="7" spans="1:12">
      <c r="A7" s="12" t="s">
        <v>67</v>
      </c>
      <c r="B7" s="14">
        <v>10710</v>
      </c>
      <c r="C7" s="14">
        <v>10560</v>
      </c>
      <c r="D7" s="15">
        <v>1.4005999999999999E-2</v>
      </c>
      <c r="E7" s="16">
        <v>120.26</v>
      </c>
      <c r="F7" s="16">
        <v>215.07</v>
      </c>
      <c r="G7" s="17">
        <v>2797.96</v>
      </c>
      <c r="H7" s="17">
        <v>7032.7</v>
      </c>
      <c r="I7" s="16">
        <v>11.5</v>
      </c>
      <c r="J7" s="16">
        <v>8.5500000000000007</v>
      </c>
      <c r="K7" s="18">
        <v>420</v>
      </c>
      <c r="L7" s="18">
        <v>106.1</v>
      </c>
    </row>
    <row r="8" spans="1:12">
      <c r="A8" s="12" t="s">
        <v>68</v>
      </c>
      <c r="B8" s="14">
        <v>9450</v>
      </c>
      <c r="C8" s="14">
        <v>9304</v>
      </c>
      <c r="D8" s="15">
        <v>1.545E-2</v>
      </c>
      <c r="E8" s="16">
        <v>110.62</v>
      </c>
      <c r="F8" s="16">
        <v>184.71</v>
      </c>
      <c r="G8" s="17">
        <v>2644.74</v>
      </c>
      <c r="H8" s="17">
        <v>4778.0200000000004</v>
      </c>
      <c r="I8" s="16">
        <v>10.85</v>
      </c>
      <c r="J8" s="16">
        <v>4.99</v>
      </c>
      <c r="K8" s="18">
        <v>337.6</v>
      </c>
      <c r="L8" s="18">
        <v>117.1</v>
      </c>
    </row>
    <row r="9" spans="1:12">
      <c r="A9" s="12" t="s">
        <v>69</v>
      </c>
      <c r="B9" s="14">
        <v>9450</v>
      </c>
      <c r="C9" s="14">
        <v>9312</v>
      </c>
      <c r="D9" s="15">
        <v>1.4603E-2</v>
      </c>
      <c r="E9" s="16">
        <v>87.58</v>
      </c>
      <c r="F9" s="16">
        <v>146.87</v>
      </c>
      <c r="G9" s="17">
        <v>3354.41</v>
      </c>
      <c r="H9" s="17">
        <v>6085.39</v>
      </c>
      <c r="I9" s="16">
        <v>13.7</v>
      </c>
      <c r="J9" s="16">
        <v>4.99</v>
      </c>
      <c r="K9" s="18">
        <v>240</v>
      </c>
      <c r="L9" s="18">
        <v>102.9</v>
      </c>
    </row>
    <row r="10" spans="1:12">
      <c r="A10" s="12" t="s">
        <v>70</v>
      </c>
      <c r="B10" s="14">
        <v>10710</v>
      </c>
      <c r="C10" s="14">
        <v>10531</v>
      </c>
      <c r="D10" s="15">
        <v>1.6712999999999999E-2</v>
      </c>
      <c r="E10" s="16">
        <v>77.16</v>
      </c>
      <c r="F10" s="16">
        <v>136.88999999999999</v>
      </c>
      <c r="G10" s="17">
        <v>4354.1899999999996</v>
      </c>
      <c r="H10" s="17">
        <v>10936.92</v>
      </c>
      <c r="I10" s="16">
        <v>17.899999999999999</v>
      </c>
      <c r="J10" s="16">
        <v>8.5</v>
      </c>
      <c r="K10" s="18">
        <v>224.9</v>
      </c>
      <c r="L10" s="18">
        <v>92.1</v>
      </c>
    </row>
    <row r="11" spans="1:12">
      <c r="A11" s="12" t="s">
        <v>71</v>
      </c>
      <c r="B11" s="14">
        <v>9450</v>
      </c>
      <c r="C11" s="14">
        <v>9278</v>
      </c>
      <c r="D11" s="15">
        <v>1.8200999999999998E-2</v>
      </c>
      <c r="E11" s="16">
        <v>72.95</v>
      </c>
      <c r="F11" s="16">
        <v>122.06</v>
      </c>
      <c r="G11" s="17">
        <v>4024.08</v>
      </c>
      <c r="H11" s="17">
        <v>7309</v>
      </c>
      <c r="I11" s="16">
        <v>16.420000000000002</v>
      </c>
      <c r="J11" s="16">
        <v>4.99</v>
      </c>
      <c r="K11" s="18">
        <v>214.1</v>
      </c>
      <c r="L11" s="18">
        <v>92.5</v>
      </c>
    </row>
    <row r="12" spans="1:12">
      <c r="A12" s="12" t="s">
        <v>72</v>
      </c>
      <c r="B12" s="14">
        <v>9450</v>
      </c>
      <c r="C12" s="14">
        <v>9325</v>
      </c>
      <c r="D12" s="15">
        <v>1.3228E-2</v>
      </c>
      <c r="E12" s="16">
        <v>66.03</v>
      </c>
      <c r="F12" s="16">
        <v>110.73</v>
      </c>
      <c r="G12" s="17">
        <v>4425.8500000000004</v>
      </c>
      <c r="H12" s="17">
        <v>7951.73</v>
      </c>
      <c r="I12" s="16">
        <v>18.16</v>
      </c>
      <c r="J12" s="16">
        <v>5</v>
      </c>
      <c r="K12" s="18">
        <v>262.39999999999998</v>
      </c>
      <c r="L12" s="18">
        <v>110.1</v>
      </c>
    </row>
    <row r="13" spans="1:12">
      <c r="A13" s="12" t="s">
        <v>73</v>
      </c>
      <c r="B13" s="14">
        <v>9450</v>
      </c>
      <c r="C13" s="14">
        <v>9298</v>
      </c>
      <c r="D13" s="15">
        <v>1.6084999999999999E-2</v>
      </c>
      <c r="E13" s="16">
        <v>65.22</v>
      </c>
      <c r="F13" s="16">
        <v>109.16</v>
      </c>
      <c r="G13" s="17">
        <v>4475.58</v>
      </c>
      <c r="H13" s="17">
        <v>8140.22</v>
      </c>
      <c r="I13" s="16">
        <v>18.41</v>
      </c>
      <c r="J13" s="16">
        <v>4.99</v>
      </c>
      <c r="K13" s="18">
        <v>266.7</v>
      </c>
      <c r="L13" s="18">
        <v>67.3</v>
      </c>
    </row>
    <row r="14" spans="1:12">
      <c r="A14" s="12" t="s">
        <v>74</v>
      </c>
      <c r="B14" s="14">
        <v>9450</v>
      </c>
      <c r="C14" s="14">
        <v>9296</v>
      </c>
      <c r="D14" s="15">
        <v>1.6296000000000001E-2</v>
      </c>
      <c r="E14" s="16">
        <v>59.95</v>
      </c>
      <c r="F14" s="16">
        <v>100.25</v>
      </c>
      <c r="G14" s="17">
        <v>4908.2700000000004</v>
      </c>
      <c r="H14" s="17">
        <v>8918.35</v>
      </c>
      <c r="I14" s="16">
        <v>19.97</v>
      </c>
      <c r="J14" s="16">
        <v>5</v>
      </c>
      <c r="K14" s="18">
        <v>150.1</v>
      </c>
      <c r="L14" s="18">
        <v>81.8</v>
      </c>
    </row>
    <row r="15" spans="1:12">
      <c r="A15" s="12" t="s">
        <v>75</v>
      </c>
      <c r="B15" s="14">
        <v>9450</v>
      </c>
      <c r="C15" s="14">
        <v>9317</v>
      </c>
      <c r="D15" s="15">
        <v>1.4074E-2</v>
      </c>
      <c r="E15" s="16">
        <v>55.33</v>
      </c>
      <c r="F15" s="16">
        <v>92.66</v>
      </c>
      <c r="G15" s="17">
        <v>5273.12</v>
      </c>
      <c r="H15" s="17">
        <v>9455.2900000000009</v>
      </c>
      <c r="I15" s="16">
        <v>21.67</v>
      </c>
      <c r="J15" s="16">
        <v>4.99</v>
      </c>
      <c r="K15" s="18">
        <v>236</v>
      </c>
      <c r="L15" s="18">
        <v>63.9</v>
      </c>
    </row>
    <row r="16" spans="1:12">
      <c r="A16" s="12" t="s">
        <v>76</v>
      </c>
      <c r="B16" s="14">
        <v>9450</v>
      </c>
      <c r="C16" s="14">
        <v>9306</v>
      </c>
      <c r="D16" s="15">
        <v>1.5238E-2</v>
      </c>
      <c r="E16" s="16">
        <v>55.11</v>
      </c>
      <c r="F16" s="16">
        <v>92.17</v>
      </c>
      <c r="G16" s="17">
        <v>5310.36</v>
      </c>
      <c r="H16" s="17">
        <v>9531.68</v>
      </c>
      <c r="I16" s="16">
        <v>21.88</v>
      </c>
      <c r="J16" s="16">
        <v>4.99</v>
      </c>
      <c r="K16" s="18">
        <v>239.8</v>
      </c>
      <c r="L16" s="18">
        <v>103.1</v>
      </c>
    </row>
    <row r="17" spans="1:12">
      <c r="A17" s="12" t="s">
        <v>77</v>
      </c>
      <c r="B17" s="14">
        <v>8190</v>
      </c>
      <c r="C17" s="14">
        <v>8080</v>
      </c>
      <c r="D17" s="15">
        <v>1.3431E-2</v>
      </c>
      <c r="E17" s="16">
        <v>50.12</v>
      </c>
      <c r="F17" s="16">
        <v>82.62</v>
      </c>
      <c r="G17" s="17">
        <v>5758.21</v>
      </c>
      <c r="H17" s="17">
        <v>10103.33</v>
      </c>
      <c r="I17" s="16">
        <v>23.49</v>
      </c>
      <c r="J17" s="16">
        <v>4.47</v>
      </c>
      <c r="K17" s="18">
        <v>123.8</v>
      </c>
      <c r="L17" s="18">
        <v>70.900000000000006</v>
      </c>
    </row>
    <row r="18" spans="1:12">
      <c r="A18" s="12" t="s">
        <v>78</v>
      </c>
      <c r="B18" s="14">
        <v>9450</v>
      </c>
      <c r="C18" s="14">
        <v>9303</v>
      </c>
      <c r="D18" s="15">
        <v>1.5556E-2</v>
      </c>
      <c r="E18" s="16">
        <v>47.84</v>
      </c>
      <c r="F18" s="16">
        <v>80.099999999999994</v>
      </c>
      <c r="G18" s="17">
        <v>6105.19</v>
      </c>
      <c r="H18" s="17">
        <v>10990.13</v>
      </c>
      <c r="I18" s="16">
        <v>24.99</v>
      </c>
      <c r="J18" s="16">
        <v>4.99</v>
      </c>
      <c r="K18" s="18">
        <v>195.1</v>
      </c>
      <c r="L18" s="18">
        <v>60.3</v>
      </c>
    </row>
    <row r="19" spans="1:12">
      <c r="A19" s="12" t="s">
        <v>79</v>
      </c>
      <c r="B19" s="14">
        <v>8190</v>
      </c>
      <c r="C19" s="14">
        <v>8064</v>
      </c>
      <c r="D19" s="15">
        <v>1.5384999999999999E-2</v>
      </c>
      <c r="E19" s="16">
        <v>45.97</v>
      </c>
      <c r="F19" s="16">
        <v>75.56</v>
      </c>
      <c r="G19" s="17">
        <v>6273.41</v>
      </c>
      <c r="H19" s="17">
        <v>11031.43</v>
      </c>
      <c r="I19" s="16">
        <v>25.65</v>
      </c>
      <c r="J19" s="16">
        <v>4.47</v>
      </c>
      <c r="K19" s="18">
        <v>164.7</v>
      </c>
      <c r="L19" s="18">
        <v>92.4</v>
      </c>
    </row>
    <row r="20" spans="1:12">
      <c r="A20" s="12" t="s">
        <v>80</v>
      </c>
      <c r="B20" s="14">
        <v>9450</v>
      </c>
      <c r="C20" s="14">
        <v>9330</v>
      </c>
      <c r="D20" s="15">
        <v>1.2697999999999999E-2</v>
      </c>
      <c r="E20" s="16">
        <v>42.79</v>
      </c>
      <c r="F20" s="16">
        <v>72.11</v>
      </c>
      <c r="G20" s="17">
        <v>6832.07</v>
      </c>
      <c r="H20" s="17">
        <v>12363.05</v>
      </c>
      <c r="I20" s="16">
        <v>28.09</v>
      </c>
      <c r="J20" s="16">
        <v>5</v>
      </c>
      <c r="K20" s="18">
        <v>163.80000000000001</v>
      </c>
      <c r="L20" s="18">
        <v>57.1</v>
      </c>
    </row>
    <row r="21" spans="1:12">
      <c r="A21" s="12" t="s">
        <v>81</v>
      </c>
      <c r="B21" s="14">
        <v>8190</v>
      </c>
      <c r="C21" s="14">
        <v>8078</v>
      </c>
      <c r="D21" s="15">
        <v>1.3675E-2</v>
      </c>
      <c r="E21" s="16">
        <v>39.26</v>
      </c>
      <c r="F21" s="16">
        <v>64.510000000000005</v>
      </c>
      <c r="G21" s="17">
        <v>7291.68</v>
      </c>
      <c r="H21" s="17">
        <v>12710.02</v>
      </c>
      <c r="I21" s="16">
        <v>29.98</v>
      </c>
      <c r="J21" s="16">
        <v>4.47</v>
      </c>
      <c r="K21" s="18">
        <v>86.2</v>
      </c>
      <c r="L21" s="18">
        <v>63.8</v>
      </c>
    </row>
    <row r="22" spans="1:12">
      <c r="A22" s="12" t="s">
        <v>82</v>
      </c>
      <c r="B22" s="14">
        <v>9450</v>
      </c>
      <c r="C22" s="14">
        <v>9301</v>
      </c>
      <c r="D22" s="15">
        <v>1.5767E-2</v>
      </c>
      <c r="E22" s="16">
        <v>36.369999999999997</v>
      </c>
      <c r="F22" s="16">
        <v>60.89</v>
      </c>
      <c r="G22" s="17">
        <v>8051.56</v>
      </c>
      <c r="H22" s="17">
        <v>14606.48</v>
      </c>
      <c r="I22" s="16">
        <v>32.950000000000003</v>
      </c>
      <c r="J22" s="16">
        <v>4.99</v>
      </c>
      <c r="K22" s="18">
        <v>142.19999999999999</v>
      </c>
      <c r="L22" s="18">
        <v>53.3</v>
      </c>
    </row>
    <row r="23" spans="1:12">
      <c r="A23" s="12" t="s">
        <v>83</v>
      </c>
      <c r="B23" s="14">
        <v>8190</v>
      </c>
      <c r="C23" s="14">
        <v>8073</v>
      </c>
      <c r="D23" s="15">
        <v>1.4286E-2</v>
      </c>
      <c r="E23" s="16">
        <v>29.35</v>
      </c>
      <c r="F23" s="16">
        <v>47.77</v>
      </c>
      <c r="G23" s="17">
        <v>9818.3700000000008</v>
      </c>
      <c r="H23" s="17">
        <v>17322.66</v>
      </c>
      <c r="I23" s="16">
        <v>40.17</v>
      </c>
      <c r="J23" s="16">
        <v>4.46</v>
      </c>
      <c r="K23" s="18">
        <v>124</v>
      </c>
      <c r="L23" s="18">
        <v>49.8</v>
      </c>
    </row>
    <row r="24" spans="1:12">
      <c r="A24" s="12" t="s">
        <v>84</v>
      </c>
      <c r="B24" s="14">
        <v>9450</v>
      </c>
      <c r="C24" s="14">
        <v>9316</v>
      </c>
      <c r="D24" s="15">
        <v>1.418E-2</v>
      </c>
      <c r="E24" s="16">
        <v>25.85</v>
      </c>
      <c r="F24" s="16">
        <v>43.39</v>
      </c>
      <c r="G24" s="17">
        <v>11337.02</v>
      </c>
      <c r="H24" s="17">
        <v>20467.97</v>
      </c>
      <c r="I24" s="16">
        <v>46.29</v>
      </c>
      <c r="J24" s="16">
        <v>4.99</v>
      </c>
      <c r="K24" s="18">
        <v>169</v>
      </c>
      <c r="L24" s="18">
        <v>53.3</v>
      </c>
    </row>
    <row r="25" spans="1:12">
      <c r="A25" s="12" t="s">
        <v>85</v>
      </c>
      <c r="B25" s="14">
        <v>8568</v>
      </c>
      <c r="C25" s="14">
        <v>8443</v>
      </c>
      <c r="D25" s="15">
        <v>1.4589E-2</v>
      </c>
      <c r="E25" s="16">
        <v>7.15</v>
      </c>
      <c r="F25" s="16">
        <v>12.63</v>
      </c>
      <c r="G25" s="17">
        <v>46781.11</v>
      </c>
      <c r="H25" s="17">
        <v>117693.08</v>
      </c>
      <c r="I25" s="16">
        <v>191.36</v>
      </c>
      <c r="J25" s="16">
        <v>0</v>
      </c>
      <c r="K25" s="18">
        <v>0</v>
      </c>
      <c r="L25" s="18">
        <v>0</v>
      </c>
    </row>
    <row r="26" spans="1:12">
      <c r="A26" s="12" t="s">
        <v>86</v>
      </c>
      <c r="B26" s="14">
        <v>8568</v>
      </c>
      <c r="C26" s="14">
        <v>8438</v>
      </c>
      <c r="D26" s="15">
        <v>1.5173000000000001E-2</v>
      </c>
      <c r="E26" s="16">
        <v>4.84</v>
      </c>
      <c r="F26" s="16">
        <v>8.52</v>
      </c>
      <c r="G26" s="17">
        <v>69159.839999999997</v>
      </c>
      <c r="H26" s="17">
        <v>176724.92</v>
      </c>
      <c r="I26" s="16">
        <v>284.02999999999997</v>
      </c>
      <c r="J26" s="16">
        <v>0</v>
      </c>
      <c r="K26" s="18">
        <v>0</v>
      </c>
      <c r="L26" s="18">
        <v>0</v>
      </c>
    </row>
    <row r="27" spans="1:12">
      <c r="A27" s="12" t="s">
        <v>87</v>
      </c>
      <c r="B27" s="14">
        <v>8568</v>
      </c>
      <c r="C27" s="14">
        <v>8426</v>
      </c>
      <c r="D27" s="15">
        <v>1.6573000000000001E-2</v>
      </c>
      <c r="E27" s="16">
        <v>4.6100000000000003</v>
      </c>
      <c r="F27" s="16">
        <v>8.1300000000000008</v>
      </c>
      <c r="G27" s="17">
        <v>72549.649999999994</v>
      </c>
      <c r="H27" s="17">
        <v>182424.54</v>
      </c>
      <c r="I27" s="16">
        <v>297.66000000000003</v>
      </c>
      <c r="J27" s="16">
        <v>0</v>
      </c>
      <c r="K27" s="18">
        <v>0</v>
      </c>
      <c r="L27" s="18">
        <v>0</v>
      </c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</sheetData>
  <mergeCells count="1">
    <mergeCell ref="A1:L1"/>
  </mergeCells>
  <conditionalFormatting sqref="E4:E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{624123D6-1FD2-4A40-BF55-1DE286CF1D65}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4123D6-1FD2-4A40-BF55-1DE286CF1D65}">
            <x14:dataBar minLength="0" maxLength="100" negativeBarColorSameAsPositive="1" axisPosition="none">
              <x14:cfvo type="min"/>
              <x14:cfvo type="max"/>
            </x14:dataBar>
          </x14:cfRule>
          <xm:sqref>E4:E27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6732-C588-4A94-A9EF-8C15025F9173}">
  <dimension ref="A1:L45"/>
  <sheetViews>
    <sheetView workbookViewId="0"/>
  </sheetViews>
  <sheetFormatPr defaultRowHeight="15"/>
  <cols>
    <col min="1" max="1" width="15.7109375" bestFit="1" customWidth="1"/>
    <col min="2" max="2" width="8.5703125" bestFit="1" customWidth="1"/>
    <col min="3" max="3" width="11.7109375" bestFit="1" customWidth="1"/>
    <col min="4" max="4" width="10.28515625" bestFit="1" customWidth="1"/>
    <col min="5" max="5" width="8.7109375" bestFit="1" customWidth="1"/>
    <col min="6" max="6" width="8.85546875" bestFit="1" customWidth="1"/>
    <col min="7" max="7" width="17.140625" bestFit="1" customWidth="1"/>
    <col min="8" max="8" width="17.28515625" bestFit="1" customWidth="1"/>
    <col min="9" max="9" width="14.140625" bestFit="1" customWidth="1"/>
    <col min="10" max="10" width="15.5703125" bestFit="1" customWidth="1"/>
    <col min="11" max="11" width="15" bestFit="1" customWidth="1"/>
    <col min="12" max="12" width="14.140625" bestFit="1" customWidth="1"/>
  </cols>
  <sheetData>
    <row r="1" spans="1:12" ht="26.25">
      <c r="A1" s="26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13" t="s">
        <v>89</v>
      </c>
      <c r="B3" s="13" t="s">
        <v>39</v>
      </c>
      <c r="C3" s="13" t="s">
        <v>40</v>
      </c>
      <c r="D3" s="13" t="s">
        <v>21</v>
      </c>
      <c r="E3" s="13" t="s">
        <v>18</v>
      </c>
      <c r="F3" s="13" t="s">
        <v>41</v>
      </c>
      <c r="G3" s="13" t="s">
        <v>19</v>
      </c>
      <c r="H3" s="13" t="s">
        <v>42</v>
      </c>
      <c r="I3" s="13" t="s">
        <v>20</v>
      </c>
      <c r="J3" s="13" t="s">
        <v>43</v>
      </c>
      <c r="K3" s="13" t="s">
        <v>44</v>
      </c>
      <c r="L3" s="13" t="s">
        <v>45</v>
      </c>
    </row>
    <row r="4" spans="1:12">
      <c r="A4" s="12">
        <v>512</v>
      </c>
      <c r="B4" s="14">
        <v>32202</v>
      </c>
      <c r="C4" s="14">
        <v>31731</v>
      </c>
      <c r="D4" s="15">
        <v>1.4626E-2</v>
      </c>
      <c r="E4" s="16">
        <v>103.09</v>
      </c>
      <c r="F4" s="16">
        <v>308.74</v>
      </c>
      <c r="G4" s="17">
        <v>7916.17</v>
      </c>
      <c r="H4" s="17">
        <v>36892.199999999997</v>
      </c>
      <c r="I4" s="16">
        <v>32.64</v>
      </c>
      <c r="J4" s="16">
        <v>5.18</v>
      </c>
      <c r="K4" s="18">
        <v>224.6</v>
      </c>
      <c r="L4" s="18">
        <v>77</v>
      </c>
    </row>
    <row r="5" spans="1:12">
      <c r="A5" s="12">
        <v>1024</v>
      </c>
      <c r="B5" s="14">
        <v>32202</v>
      </c>
      <c r="C5" s="14">
        <v>31716</v>
      </c>
      <c r="D5" s="15">
        <v>1.5092E-2</v>
      </c>
      <c r="E5" s="16">
        <v>93.72</v>
      </c>
      <c r="F5" s="16">
        <v>280.33</v>
      </c>
      <c r="G5" s="17">
        <v>8721.94</v>
      </c>
      <c r="H5" s="17">
        <v>40628.089999999997</v>
      </c>
      <c r="I5" s="16">
        <v>35.729999999999997</v>
      </c>
      <c r="J5" s="16">
        <v>5.19</v>
      </c>
      <c r="K5" s="18">
        <v>224.4</v>
      </c>
      <c r="L5" s="18">
        <v>76.900000000000006</v>
      </c>
    </row>
    <row r="6" spans="1:12">
      <c r="A6" s="12">
        <v>2048</v>
      </c>
      <c r="B6" s="14">
        <v>32202</v>
      </c>
      <c r="C6" s="14">
        <v>31714</v>
      </c>
      <c r="D6" s="15">
        <v>1.5154000000000001E-2</v>
      </c>
      <c r="E6" s="16">
        <v>84.58</v>
      </c>
      <c r="F6" s="16">
        <v>252.89</v>
      </c>
      <c r="G6" s="17">
        <v>9677.5400000000009</v>
      </c>
      <c r="H6" s="17">
        <v>45199.65</v>
      </c>
      <c r="I6" s="16">
        <v>39.69</v>
      </c>
      <c r="J6" s="16">
        <v>5.19</v>
      </c>
      <c r="K6" s="18">
        <v>224.4</v>
      </c>
      <c r="L6" s="18">
        <v>76.900000000000006</v>
      </c>
    </row>
    <row r="7" spans="1:12">
      <c r="A7" s="12">
        <v>4096</v>
      </c>
      <c r="B7" s="14">
        <v>32202</v>
      </c>
      <c r="C7" s="14">
        <v>31736</v>
      </c>
      <c r="D7" s="15">
        <v>1.4470999999999999E-2</v>
      </c>
      <c r="E7" s="16">
        <v>75.260000000000005</v>
      </c>
      <c r="F7" s="16">
        <v>225.41</v>
      </c>
      <c r="G7" s="17">
        <v>10839.67</v>
      </c>
      <c r="H7" s="17">
        <v>50313.88</v>
      </c>
      <c r="I7" s="16">
        <v>44.56</v>
      </c>
      <c r="J7" s="16">
        <v>5.18</v>
      </c>
      <c r="K7" s="18">
        <v>224.1</v>
      </c>
      <c r="L7" s="18">
        <v>76.900000000000006</v>
      </c>
    </row>
    <row r="8" spans="1:12">
      <c r="A8" s="12">
        <v>8192</v>
      </c>
      <c r="B8" s="14">
        <v>32202</v>
      </c>
      <c r="C8" s="14">
        <v>31686</v>
      </c>
      <c r="D8" s="15">
        <v>1.6024E-2</v>
      </c>
      <c r="E8" s="16">
        <v>66.040000000000006</v>
      </c>
      <c r="F8" s="16">
        <v>198.33</v>
      </c>
      <c r="G8" s="17">
        <v>12396.02</v>
      </c>
      <c r="H8" s="17">
        <v>58054.27</v>
      </c>
      <c r="I8" s="16">
        <v>50.59</v>
      </c>
      <c r="J8" s="16">
        <v>5.18</v>
      </c>
      <c r="K8" s="18">
        <v>224.6</v>
      </c>
      <c r="L8" s="18">
        <v>76.900000000000006</v>
      </c>
    </row>
    <row r="9" spans="1:12">
      <c r="A9" s="12">
        <v>16384</v>
      </c>
      <c r="B9" s="14">
        <v>32202</v>
      </c>
      <c r="C9" s="14">
        <v>31712</v>
      </c>
      <c r="D9" s="15">
        <v>1.5216E-2</v>
      </c>
      <c r="E9" s="16">
        <v>56.65</v>
      </c>
      <c r="F9" s="16">
        <v>170.09</v>
      </c>
      <c r="G9" s="17">
        <v>14457.32</v>
      </c>
      <c r="H9" s="17">
        <v>68231.600000000006</v>
      </c>
      <c r="I9" s="16">
        <v>59.51</v>
      </c>
      <c r="J9" s="16">
        <v>5.19</v>
      </c>
      <c r="K9" s="18">
        <v>224.5</v>
      </c>
      <c r="L9" s="18">
        <v>76.8</v>
      </c>
    </row>
    <row r="10" spans="1:12">
      <c r="A10" s="12">
        <v>32768</v>
      </c>
      <c r="B10" s="14">
        <v>32202</v>
      </c>
      <c r="C10" s="14">
        <v>31720</v>
      </c>
      <c r="D10" s="15">
        <v>1.4968E-2</v>
      </c>
      <c r="E10" s="16">
        <v>47.45</v>
      </c>
      <c r="F10" s="16">
        <v>142.32</v>
      </c>
      <c r="G10" s="17">
        <v>17223.990000000002</v>
      </c>
      <c r="H10" s="17">
        <v>80907.44</v>
      </c>
      <c r="I10" s="16">
        <v>70.86</v>
      </c>
      <c r="J10" s="16">
        <v>5.19</v>
      </c>
      <c r="K10" s="18">
        <v>224.6</v>
      </c>
      <c r="L10" s="18">
        <v>76.900000000000006</v>
      </c>
    </row>
    <row r="11" spans="1:1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3" t="s">
        <v>90</v>
      </c>
      <c r="B14" s="13" t="s">
        <v>39</v>
      </c>
      <c r="C14" s="13" t="s">
        <v>40</v>
      </c>
      <c r="D14" s="13" t="s">
        <v>21</v>
      </c>
      <c r="E14" s="13" t="s">
        <v>18</v>
      </c>
      <c r="F14" s="13" t="s">
        <v>41</v>
      </c>
      <c r="G14" s="13" t="s">
        <v>19</v>
      </c>
      <c r="H14" s="13" t="s">
        <v>42</v>
      </c>
      <c r="I14" s="13" t="s">
        <v>20</v>
      </c>
      <c r="J14" s="13" t="s">
        <v>43</v>
      </c>
      <c r="K14" s="13" t="s">
        <v>44</v>
      </c>
      <c r="L14" s="13" t="s">
        <v>45</v>
      </c>
    </row>
    <row r="15" spans="1:12">
      <c r="A15" s="12" t="s">
        <v>91</v>
      </c>
      <c r="B15" s="14">
        <v>37569</v>
      </c>
      <c r="C15" s="14">
        <v>37043</v>
      </c>
      <c r="D15" s="15">
        <v>1.4001E-2</v>
      </c>
      <c r="E15" s="16">
        <v>91.58</v>
      </c>
      <c r="F15" s="16">
        <v>278.87</v>
      </c>
      <c r="G15" s="17">
        <v>9413.8700000000008</v>
      </c>
      <c r="H15" s="17">
        <v>43300.12</v>
      </c>
      <c r="I15" s="16">
        <v>38.700000000000003</v>
      </c>
      <c r="J15" s="16">
        <v>5.18</v>
      </c>
      <c r="K15" s="18">
        <v>224.5</v>
      </c>
      <c r="L15" s="18">
        <v>76.900000000000006</v>
      </c>
    </row>
    <row r="16" spans="1:12">
      <c r="A16" s="12" t="s">
        <v>92</v>
      </c>
      <c r="B16" s="14">
        <v>37569</v>
      </c>
      <c r="C16" s="14">
        <v>37000</v>
      </c>
      <c r="D16" s="15">
        <v>1.5145E-2</v>
      </c>
      <c r="E16" s="16">
        <v>79.599999999999994</v>
      </c>
      <c r="F16" s="16">
        <v>244.06</v>
      </c>
      <c r="G16" s="17">
        <v>10874.14</v>
      </c>
      <c r="H16" s="17">
        <v>49845.45</v>
      </c>
      <c r="I16" s="16">
        <v>44.61</v>
      </c>
      <c r="J16" s="16">
        <v>5.19</v>
      </c>
      <c r="K16" s="18">
        <v>224.1</v>
      </c>
      <c r="L16" s="18">
        <v>76.900000000000006</v>
      </c>
    </row>
    <row r="17" spans="1:12">
      <c r="A17" s="12" t="s">
        <v>93</v>
      </c>
      <c r="B17" s="14">
        <v>37569</v>
      </c>
      <c r="C17" s="14">
        <v>36989</v>
      </c>
      <c r="D17" s="15">
        <v>1.5438E-2</v>
      </c>
      <c r="E17" s="16">
        <v>73.260000000000005</v>
      </c>
      <c r="F17" s="16">
        <v>224.06</v>
      </c>
      <c r="G17" s="17">
        <v>11768.98</v>
      </c>
      <c r="H17" s="17">
        <v>54129.77</v>
      </c>
      <c r="I17" s="16">
        <v>48.34</v>
      </c>
      <c r="J17" s="16">
        <v>5.18</v>
      </c>
      <c r="K17" s="18">
        <v>224.5</v>
      </c>
      <c r="L17" s="18">
        <v>76.8</v>
      </c>
    </row>
    <row r="18" spans="1:12">
      <c r="A18" s="12" t="s">
        <v>94</v>
      </c>
      <c r="B18" s="14">
        <v>37569</v>
      </c>
      <c r="C18" s="14">
        <v>36977</v>
      </c>
      <c r="D18" s="15">
        <v>1.5758000000000001E-2</v>
      </c>
      <c r="E18" s="16">
        <v>70.150000000000006</v>
      </c>
      <c r="F18" s="16">
        <v>214.23</v>
      </c>
      <c r="G18" s="17">
        <v>12304.7</v>
      </c>
      <c r="H18" s="17">
        <v>56484.86</v>
      </c>
      <c r="I18" s="16">
        <v>50.77</v>
      </c>
      <c r="J18" s="16">
        <v>5.19</v>
      </c>
      <c r="K18" s="18">
        <v>224.9</v>
      </c>
      <c r="L18" s="18">
        <v>77</v>
      </c>
    </row>
    <row r="19" spans="1:12">
      <c r="A19" s="12" t="s">
        <v>95</v>
      </c>
      <c r="B19" s="14">
        <v>37569</v>
      </c>
      <c r="C19" s="14">
        <v>36992</v>
      </c>
      <c r="D19" s="15">
        <v>1.5358E-2</v>
      </c>
      <c r="E19" s="16">
        <v>69.260000000000005</v>
      </c>
      <c r="F19" s="16">
        <v>211.35</v>
      </c>
      <c r="G19" s="17">
        <v>12495.63</v>
      </c>
      <c r="H19" s="17">
        <v>57197.84</v>
      </c>
      <c r="I19" s="16">
        <v>51.28</v>
      </c>
      <c r="J19" s="16">
        <v>5.19</v>
      </c>
      <c r="K19" s="18">
        <v>224.2</v>
      </c>
      <c r="L19" s="18">
        <v>76.8</v>
      </c>
    </row>
    <row r="20" spans="1:12">
      <c r="A20" s="12" t="s">
        <v>96</v>
      </c>
      <c r="B20" s="14">
        <v>37569</v>
      </c>
      <c r="C20" s="14">
        <v>37014</v>
      </c>
      <c r="D20" s="15">
        <v>1.4773E-2</v>
      </c>
      <c r="E20" s="16">
        <v>67.680000000000007</v>
      </c>
      <c r="F20" s="16">
        <v>207.09</v>
      </c>
      <c r="G20" s="17">
        <v>12771.3</v>
      </c>
      <c r="H20" s="17">
        <v>59078.83</v>
      </c>
      <c r="I20" s="16">
        <v>52.23</v>
      </c>
      <c r="J20" s="16">
        <v>5.18</v>
      </c>
      <c r="K20" s="18">
        <v>224.3</v>
      </c>
      <c r="L20" s="18">
        <v>76.900000000000006</v>
      </c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3" t="s">
        <v>36</v>
      </c>
      <c r="B24" s="13" t="s">
        <v>39</v>
      </c>
      <c r="C24" s="13" t="s">
        <v>40</v>
      </c>
      <c r="D24" s="13" t="s">
        <v>21</v>
      </c>
      <c r="E24" s="13" t="s">
        <v>18</v>
      </c>
      <c r="F24" s="13" t="s">
        <v>41</v>
      </c>
      <c r="G24" s="13" t="s">
        <v>19</v>
      </c>
      <c r="H24" s="13" t="s">
        <v>42</v>
      </c>
      <c r="I24" s="13" t="s">
        <v>20</v>
      </c>
      <c r="J24" s="13" t="s">
        <v>43</v>
      </c>
      <c r="K24" s="13" t="s">
        <v>44</v>
      </c>
      <c r="L24" s="13" t="s">
        <v>45</v>
      </c>
    </row>
    <row r="25" spans="1:12">
      <c r="A25" s="12" t="s">
        <v>97</v>
      </c>
      <c r="B25" s="14">
        <v>14742</v>
      </c>
      <c r="C25" s="14">
        <v>14547</v>
      </c>
      <c r="D25" s="15">
        <v>1.3228E-2</v>
      </c>
      <c r="E25" s="16">
        <v>93.04</v>
      </c>
      <c r="F25" s="16">
        <v>281.83999999999997</v>
      </c>
      <c r="G25" s="17">
        <v>7630.96</v>
      </c>
      <c r="H25" s="17">
        <v>36826.06</v>
      </c>
      <c r="I25" s="16">
        <v>31.34</v>
      </c>
      <c r="J25" s="16">
        <v>4.3099999999999996</v>
      </c>
      <c r="K25" s="18">
        <v>219.9</v>
      </c>
      <c r="L25" s="18">
        <v>77.099999999999994</v>
      </c>
    </row>
    <row r="26" spans="1:12">
      <c r="A26" s="12" t="s">
        <v>98</v>
      </c>
      <c r="B26" s="14">
        <v>139482</v>
      </c>
      <c r="C26" s="14">
        <v>137381</v>
      </c>
      <c r="D26" s="15">
        <v>1.5063E-2</v>
      </c>
      <c r="E26" s="16">
        <v>78.39</v>
      </c>
      <c r="F26" s="16">
        <v>240.67</v>
      </c>
      <c r="G26" s="17">
        <v>12206.99</v>
      </c>
      <c r="H26" s="17">
        <v>54712.31</v>
      </c>
      <c r="I26" s="16">
        <v>50.13</v>
      </c>
      <c r="J26" s="16">
        <v>5.46</v>
      </c>
      <c r="K26" s="18">
        <v>225.4</v>
      </c>
      <c r="L26" s="18">
        <v>76.8</v>
      </c>
    </row>
    <row r="27" spans="1:12">
      <c r="A27" s="12" t="s">
        <v>99</v>
      </c>
      <c r="B27" s="14">
        <v>56448</v>
      </c>
      <c r="C27" s="14">
        <v>55582</v>
      </c>
      <c r="D27" s="15">
        <v>1.5342E-2</v>
      </c>
      <c r="E27" s="16">
        <v>65.98</v>
      </c>
      <c r="F27" s="16">
        <v>200.21</v>
      </c>
      <c r="G27" s="17">
        <v>11275.93</v>
      </c>
      <c r="H27" s="17">
        <v>55017.41</v>
      </c>
      <c r="I27" s="16">
        <v>46.28</v>
      </c>
      <c r="J27" s="16">
        <v>4.97</v>
      </c>
      <c r="K27" s="18">
        <v>224.5</v>
      </c>
      <c r="L27" s="18">
        <v>77.2</v>
      </c>
    </row>
    <row r="28" spans="1:12">
      <c r="A28" s="12" t="s">
        <v>100</v>
      </c>
      <c r="B28" s="14">
        <v>14742</v>
      </c>
      <c r="C28" s="14">
        <v>14505</v>
      </c>
      <c r="D28" s="15">
        <v>1.6077000000000001E-2</v>
      </c>
      <c r="E28" s="16">
        <v>63.35</v>
      </c>
      <c r="F28" s="16">
        <v>193.21</v>
      </c>
      <c r="G28" s="17">
        <v>11139.26</v>
      </c>
      <c r="H28" s="17">
        <v>53472.88</v>
      </c>
      <c r="I28" s="16">
        <v>45.8</v>
      </c>
      <c r="J28" s="16">
        <v>4.3099999999999996</v>
      </c>
      <c r="K28" s="18">
        <v>220</v>
      </c>
      <c r="L28" s="18">
        <v>76.5</v>
      </c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</sheetData>
  <mergeCells count="1">
    <mergeCell ref="A1:L1"/>
  </mergeCells>
  <conditionalFormatting sqref="E4:E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{0C88DF80-0335-4446-ACF6-CFC80F05B128}</x14:id>
        </ext>
      </extLst>
    </cfRule>
  </conditionalFormatting>
  <conditionalFormatting sqref="E15:E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{90698658-05D7-4D2C-A26F-85F17351699D}</x14:id>
        </ext>
      </extLst>
    </cfRule>
  </conditionalFormatting>
  <conditionalFormatting sqref="E25:E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{B1BF90F7-E85B-4832-B38D-1C5DE9DB4810}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88DF80-0335-4446-ACF6-CFC80F05B128}">
            <x14:dataBar minLength="0" maxLength="100" negativeBarColorSameAsPositive="1" axisPosition="none">
              <x14:cfvo type="min"/>
              <x14:cfvo type="max"/>
            </x14:dataBar>
          </x14:cfRule>
          <xm:sqref>E4:E10</xm:sqref>
        </x14:conditionalFormatting>
        <x14:conditionalFormatting xmlns:xm="http://schemas.microsoft.com/office/excel/2006/main">
          <x14:cfRule type="dataBar" id="{90698658-05D7-4D2C-A26F-85F17351699D}">
            <x14:dataBar minLength="0" maxLength="100" negativeBarColorSameAsPositive="1" axisPosition="none">
              <x14:cfvo type="min"/>
              <x14:cfvo type="max"/>
            </x14:dataBar>
          </x14:cfRule>
          <xm:sqref>E15:E20</xm:sqref>
        </x14:conditionalFormatting>
        <x14:conditionalFormatting xmlns:xm="http://schemas.microsoft.com/office/excel/2006/main">
          <x14:cfRule type="dataBar" id="{B1BF90F7-E85B-4832-B38D-1C5DE9DB4810}">
            <x14:dataBar minLength="0" maxLength="100" negativeBarColorSameAsPositive="1" axisPosition="none">
              <x14:cfvo type="min"/>
              <x14:cfvo type="max"/>
            </x14:dataBar>
          </x14:cfRule>
          <xm:sqref>E25:E28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Alexandre Pedrosa</cp:lastModifiedBy>
  <cp:revision/>
  <dcterms:created xsi:type="dcterms:W3CDTF">2026-10-27T15:52:56Z</dcterms:created>
  <dcterms:modified xsi:type="dcterms:W3CDTF">2026-10-27T15:57:13Z</dcterms:modified>
  <cp:category/>
  <cp:contentStatus/>
</cp:coreProperties>
</file>