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ensibilid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  <c r="E1" s="1" t="inlineStr">
        <is>
          <t>2030</t>
        </is>
      </c>
      <c r="F1" s="1" t="inlineStr">
        <is>
          <t>2031</t>
        </is>
      </c>
    </row>
    <row r="2">
      <c r="A2" t="inlineStr">
        <is>
          <t>Receita Inicial</t>
        </is>
      </c>
      <c r="B2" t="n">
        <v>1000</v>
      </c>
    </row>
    <row r="3">
      <c r="A3" t="inlineStr">
        <is>
          <t>Crescimento</t>
        </is>
      </c>
      <c r="B3" t="n">
        <v>0.2</v>
      </c>
      <c r="C3" t="n">
        <v>0.2</v>
      </c>
      <c r="D3" t="n">
        <v>0.2</v>
      </c>
      <c r="E3" t="n">
        <v>0.2</v>
      </c>
      <c r="F3" t="n">
        <v>0.2</v>
      </c>
    </row>
    <row r="4">
      <c r="A4" t="inlineStr">
        <is>
          <t>Receita Projetada</t>
        </is>
      </c>
      <c r="B4">
        <f>B2*(1+B3)</f>
        <v/>
      </c>
      <c r="C4">
        <f>B4*(1+C3)</f>
        <v/>
      </c>
      <c r="D4">
        <f>C4*(1+D3)</f>
        <v/>
      </c>
      <c r="E4">
        <f>D4*(1+E3)</f>
        <v/>
      </c>
      <c r="F4">
        <f>E4*(1+F3)</f>
        <v/>
      </c>
    </row>
    <row r="5">
      <c r="A5" t="inlineStr">
        <is>
          <t>Margem FCF</t>
        </is>
      </c>
      <c r="B5" t="n">
        <v>0.18</v>
      </c>
      <c r="C5" t="n">
        <v>0.18</v>
      </c>
      <c r="D5" t="n">
        <v>0.18</v>
      </c>
      <c r="E5" t="n">
        <v>0.18</v>
      </c>
      <c r="F5" t="n">
        <v>0.18</v>
      </c>
    </row>
    <row r="6">
      <c r="A6" t="inlineStr">
        <is>
          <t>FCF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</row>
    <row r="7">
      <c r="A7" t="inlineStr">
        <is>
          <t>WACC</t>
        </is>
      </c>
      <c r="B7" t="n">
        <v>0.11</v>
      </c>
      <c r="C7" t="n">
        <v>0.11</v>
      </c>
      <c r="D7" t="n">
        <v>0.11</v>
      </c>
      <c r="E7" t="n">
        <v>0.11</v>
      </c>
      <c r="F7" t="n">
        <v>0.11</v>
      </c>
    </row>
    <row r="8">
      <c r="A8" t="inlineStr">
        <is>
          <t>VP FCF</t>
        </is>
      </c>
      <c r="B8">
        <f>B6/(1+B7)^1</f>
        <v/>
      </c>
      <c r="C8">
        <f>C6/(1+C7)^2</f>
        <v/>
      </c>
      <c r="D8">
        <f>D6/(1+D7)^3</f>
        <v/>
      </c>
      <c r="E8">
        <f>E6/(1+E7)^4</f>
        <v/>
      </c>
      <c r="F8">
        <f>F6/(1+F7)^5</f>
        <v/>
      </c>
    </row>
    <row r="10">
      <c r="A10" t="inlineStr">
        <is>
          <t>Valor Terminal</t>
        </is>
      </c>
      <c r="B10">
        <f>F6*(1+0.03)/(0.11-0.03)</f>
        <v/>
      </c>
    </row>
    <row r="11">
      <c r="A11" t="inlineStr">
        <is>
          <t>VP Terminal</t>
        </is>
      </c>
      <c r="B11">
        <f>B10/(1+0.11)^5</f>
        <v/>
      </c>
    </row>
    <row r="12">
      <c r="A12" t="inlineStr">
        <is>
          <t>Enterprise Value</t>
        </is>
      </c>
      <c r="B12">
        <f>SUM(B8:F8)+B11</f>
        <v/>
      </c>
    </row>
    <row r="13">
      <c r="A13" t="inlineStr">
        <is>
          <t>Ações (milhões)</t>
        </is>
      </c>
      <c r="B13" t="n">
        <v>295</v>
      </c>
    </row>
    <row r="14">
      <c r="A14" t="inlineStr">
        <is>
          <t>Preço-Alvo</t>
        </is>
      </c>
      <c r="B14">
        <f>B12/B13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Preço-Alvo (WACC x Crescimento Perpetuo)</t>
        </is>
      </c>
      <c r="B1" t="n">
        <v>0.02</v>
      </c>
      <c r="C1" t="n">
        <v>0.03</v>
      </c>
      <c r="D1" t="n">
        <v>0.04</v>
      </c>
      <c r="E1" t="n">
        <v>0.05</v>
      </c>
    </row>
    <row r="2">
      <c r="A2" t="n">
        <v>0.09</v>
      </c>
      <c r="B2" t="n">
        <v>10.66924939467312</v>
      </c>
      <c r="C2" t="n">
        <v>12.56949152542373</v>
      </c>
      <c r="D2" t="n">
        <v>15.22983050847458</v>
      </c>
      <c r="E2" t="n">
        <v>19.22033898305085</v>
      </c>
    </row>
    <row r="3">
      <c r="A3" t="n">
        <v>0.1</v>
      </c>
      <c r="B3" t="n">
        <v>9.335593220338984</v>
      </c>
      <c r="C3" t="n">
        <v>10.77384987893462</v>
      </c>
      <c r="D3" t="n">
        <v>12.69152542372881</v>
      </c>
      <c r="E3" t="n">
        <v>15.37627118644068</v>
      </c>
    </row>
    <row r="4">
      <c r="A4" t="n">
        <v>0.11</v>
      </c>
      <c r="B4" t="n">
        <v>8.298305084745763</v>
      </c>
      <c r="C4" t="n">
        <v>9.427118644067797</v>
      </c>
      <c r="D4" t="n">
        <v>10.87845036319612</v>
      </c>
      <c r="E4" t="n">
        <v>12.8135593220339</v>
      </c>
    </row>
    <row r="5">
      <c r="A5" t="n">
        <v>0.12</v>
      </c>
      <c r="B5" t="n">
        <v>7.468474576271188</v>
      </c>
      <c r="C5" t="n">
        <v>8.379661016949154</v>
      </c>
      <c r="D5" t="n">
        <v>9.518644067796611</v>
      </c>
      <c r="E5" t="n">
        <v>10.98305084745763</v>
      </c>
    </row>
    <row r="6">
      <c r="A6" t="n">
        <v>0.13</v>
      </c>
      <c r="B6" t="n">
        <v>6.789522342064714</v>
      </c>
      <c r="C6" t="n">
        <v>7.541694915254238</v>
      </c>
      <c r="D6" t="n">
        <v>8.461016949152544</v>
      </c>
      <c r="E6" t="n">
        <v>9.610169491525424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2026-10-11T03:08:06.5345437Z</dcterms:created>
  <dcterms:modified xsi:type="dcterms:W3CDTF">2026-10-11T03:08:06.5345437Z</dcterms:modified>
  <lastModifiedBy>M365 Copilot</lastModifiedBy>
</coreProperties>
</file>